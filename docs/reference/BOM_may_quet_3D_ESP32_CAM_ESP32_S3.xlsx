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83ef2e4f9cf4a05" /></Relationships>
</file>

<file path=xl/workbook.xml><?xml version="1.0" encoding="utf-8"?>
<x:workbook xmlns:x="http://schemas.openxmlformats.org/spreadsheetml/2006/main">
  <x:sheets>
    <x:sheet xmlns:r="http://schemas.openxmlformats.org/officeDocument/2006/relationships" name="BOM" sheetId="1" r:id="R43d94456565b4e95"/>
    <x:sheet xmlns:r="http://schemas.openxmlformats.org/officeDocument/2006/relationships" name="Cau hinh" sheetId="2" r:id="R1d0fd8f4635749c3"/>
    <x:sheet xmlns:r="http://schemas.openxmlformats.org/officeDocument/2006/relationships" name="Chon bo" sheetId="3" r:id="R98ebe40c3c914fd5"/>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0%"/>
    <x:numFmt numFmtId="201" formatCode="#,##0;(#,##0);&quot;–&quot;"/>
    <x:numFmt numFmtId="202" formatCode="0"/>
  </x:numFmts>
  <x:fonts count="9">
    <x:font>
      <x:sz val="11"/>
      <x:name val="Carlito"/>
    </x:font>
    <x:font>
      <x:sz val="10"/>
      <x:color rgb="FF192D43"/>
      <x:name val="Arial"/>
    </x:font>
    <x:font>
      <x:b/>
      <x:sz val="16"/>
      <x:color rgb="FF263D5A"/>
      <x:name val="Arial"/>
    </x:font>
    <x:font>
      <x:b/>
      <x:sz val="10"/>
      <x:color rgb="FF192D43"/>
      <x:name val="Arial"/>
    </x:font>
    <x:font>
      <x:sz val="10"/>
      <x:color rgb="FF0000FF"/>
      <x:name val="Arial"/>
    </x:font>
    <x:font>
      <x:i/>
      <x:sz val="10"/>
      <x:color rgb="FF192D43"/>
      <x:name val="Arial"/>
    </x:font>
    <x:font>
      <x:b/>
      <x:sz val="10"/>
      <x:color rgb="FFFFFFFF"/>
      <x:name val="Arial"/>
    </x:font>
    <x:font>
      <x:sz val="10"/>
      <x:color rgb="FF556579"/>
      <x:name val="Arial"/>
    </x:font>
    <x:font>
      <x:sz val="10"/>
      <x:color rgb="FF008000"/>
      <x:name val="Arial"/>
    </x:font>
  </x:fonts>
  <x:fills count="13">
    <x:fill>
      <x:patternFill patternType="none"/>
    </x:fill>
    <x:fill>
      <x:patternFill patternType="gray125"/>
    </x:fill>
    <x:fill>
      <x:patternFill patternType="solid">
        <x:fgColor rgb="FFE9EEF4"/>
      </x:patternFill>
    </x:fill>
    <x:fill>
      <x:patternFill patternType="solid">
        <x:fgColor rgb="FFE4EBF5"/>
      </x:patternFill>
    </x:fill>
    <x:fill>
      <x:patternFill patternType="solid">
        <x:fgColor rgb="FFFFF4D5"/>
      </x:patternFill>
    </x:fill>
    <x:fill>
      <x:patternFill patternType="solid">
        <x:fgColor rgb="FF263D5A"/>
      </x:patternFill>
    </x:fill>
    <x:fill>
      <x:patternFill patternType="solid">
        <x:fgColor rgb="FFF4F7FB"/>
      </x:patternFill>
    </x:fill>
    <x:fill>
      <x:patternFill patternType="solid">
        <x:fgColor rgb="FFFFFFFF"/>
      </x:patternFill>
    </x:fill>
    <x:fill>
      <x:patternFill patternType="solid">
        <x:fgColor rgb="FF263D5A"/>
      </x:patternFill>
    </x:fill>
    <x:fill>
      <x:patternFill patternType="solid">
        <x:fgColor rgb="FFFFF4D5"/>
      </x:patternFill>
    </x:fill>
    <x:fill>
      <x:patternFill patternType="solid">
        <x:fgColor rgb="FFF4F7FB"/>
      </x:patternFill>
    </x:fill>
    <x:fill>
      <x:patternFill patternType="solid">
        <x:fgColor rgb="FFFFFFFF"/>
      </x:patternFill>
    </x:fill>
    <x:fill>
      <x:patternFill patternType="solid">
        <x:fgColor rgb="FFEAF0F8"/>
      </x:patternFill>
    </x:fill>
  </x:fills>
  <x:borders count="3">
    <x:border/>
    <x:border>
      <x:bottom style="thin">
        <x:color rgb="FF8A9BB0"/>
      </x:bottom>
    </x:border>
    <x:border>
      <x:top style="thin">
        <x:color rgb="FF263D5A"/>
      </x:top>
    </x:border>
  </x:borders>
  <x:cellStyleXfs count="1">
    <x:xf numFmtId="0" fontId="0" fillId="0" borderId="0"/>
  </x:cellStyleXfs>
  <x:cellXfs count="56">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2" fillId="0" borderId="0" xfId="0" applyNumberFormat="1" applyFont="1" applyFill="1" applyBorder="1" applyAlignment="1">
      <x:alignment vertical="center"/>
    </x:xf>
    <x:xf numFmtId="0" fontId="1" fillId="0" borderId="1" xfId="0" applyNumberFormat="1" applyFont="1" applyFill="1" applyBorder="1" applyAlignment="1">
      <x:alignment vertical="center"/>
    </x:xf>
    <x:xf numFmtId="0" fontId="1" fillId="2" borderId="0" xfId="0" applyNumberFormat="1" applyFont="1" applyFill="1" applyBorder="1" applyAlignment="1">
      <x:alignment vertical="center"/>
    </x:xf>
    <x:xf numFmtId="0" fontId="3" fillId="2" borderId="0" xfId="0" applyNumberFormat="1" applyFont="1" applyFill="1" applyBorder="1" applyAlignment="1">
      <x:alignment vertical="center"/>
    </x:xf>
    <x:xf numFmtId="200" fontId="1" fillId="0" borderId="0" xfId="0" applyNumberFormat="1" applyFont="1" applyFill="1" applyBorder="1" applyAlignment="1">
      <x:alignment vertical="center"/>
    </x:xf>
    <x:xf numFmtId="0" fontId="1" fillId="3" borderId="0" xfId="0" applyNumberFormat="1" applyFont="1" applyFill="1" applyBorder="1" applyAlignment="1">
      <x:alignment vertical="center"/>
    </x:xf>
    <x:xf numFmtId="0" fontId="3" fillId="3" borderId="0" xfId="0" applyNumberFormat="1" applyFont="1" applyFill="1" applyBorder="1" applyAlignment="1">
      <x:alignment vertical="center"/>
    </x:xf>
    <x:xf numFmtId="0" fontId="3" fillId="3" borderId="2" xfId="0" applyNumberFormat="1" applyFont="1" applyFill="1" applyBorder="1" applyAlignment="1">
      <x:alignment vertical="center"/>
    </x:xf>
    <x:xf numFmtId="201" fontId="1" fillId="0" borderId="0" xfId="0" applyNumberFormat="1" applyFont="1" applyFill="1" applyBorder="1" applyAlignment="1">
      <x:alignment vertical="center"/>
    </x:xf>
    <x:xf numFmtId="201" fontId="3" fillId="3" borderId="2" xfId="0" applyNumberFormat="1" applyFont="1" applyFill="1" applyBorder="1" applyAlignment="1">
      <x:alignment vertical="center"/>
    </x:xf>
    <x:xf numFmtId="201" fontId="1" fillId="0" borderId="0" xfId="0" applyNumberFormat="1" applyFont="1" applyFill="1" applyBorder="1" applyAlignment="1">
      <x:alignment horizontal="right" vertical="center"/>
    </x:xf>
    <x:xf numFmtId="201" fontId="3" fillId="3" borderId="2" xfId="0" applyNumberFormat="1" applyFont="1" applyFill="1" applyBorder="1" applyAlignment="1">
      <x:alignment horizontal="right" vertical="center"/>
    </x:xf>
    <x:xf numFmtId="200" fontId="1" fillId="4" borderId="0" xfId="0" applyNumberFormat="1" applyFont="1" applyFill="1" applyBorder="1" applyAlignment="1">
      <x:alignment vertical="center"/>
    </x:xf>
    <x:xf numFmtId="200" fontId="4" fillId="4" borderId="0" xfId="0" applyNumberFormat="1" applyFont="1" applyFill="1" applyBorder="1" applyAlignment="1">
      <x:alignment vertical="center"/>
    </x:xf>
    <x:xf numFmtId="201" fontId="1" fillId="4" borderId="0" xfId="0" applyNumberFormat="1" applyFont="1" applyFill="1" applyBorder="1" applyAlignment="1">
      <x:alignment horizontal="right" vertical="center"/>
    </x:xf>
    <x:xf numFmtId="201" fontId="4" fillId="4" borderId="0" xfId="0" applyNumberFormat="1" applyFont="1" applyFill="1" applyBorder="1" applyAlignment="1">
      <x:alignment horizontal="right" vertical="center"/>
    </x:xf>
    <x:xf numFmtId="0" fontId="5" fillId="0" borderId="0" xfId="0" applyNumberFormat="1" applyFont="1" applyFill="1" applyBorder="1" applyAlignment="1">
      <x:alignment vertical="center"/>
    </x:xf>
    <x:xf numFmtId="0" fontId="1" fillId="5" borderId="0" xfId="0" applyNumberFormat="1" applyFont="1" applyFill="1" applyBorder="1" applyAlignment="1">
      <x:alignment vertical="center"/>
    </x:xf>
    <x:xf numFmtId="0" fontId="6" fillId="5" borderId="0" xfId="0" applyNumberFormat="1" applyFont="1" applyFill="1" applyBorder="1" applyAlignment="1">
      <x:alignment vertical="center"/>
    </x:xf>
    <x:xf numFmtId="0" fontId="6" fillId="5" borderId="0" xfId="0" applyNumberFormat="1" applyFont="1" applyFill="1" applyBorder="1" applyAlignment="1">
      <x:alignment horizontal="center" vertical="center"/>
    </x:xf>
    <x:xf numFmtId="0" fontId="3" fillId="0" borderId="0" xfId="0" applyNumberFormat="1" applyFont="1" applyFill="1" applyBorder="1" applyAlignment="1">
      <x:alignment vertical="center"/>
    </x:xf>
    <x:xf numFmtId="0" fontId="1" fillId="6" borderId="0" xfId="0" applyNumberFormat="1" applyFont="1" applyFill="1" applyBorder="1" applyAlignment="1">
      <x:alignment vertical="center"/>
    </x:xf>
    <x:xf numFmtId="0" fontId="1" fillId="6" borderId="0" xfId="0" applyNumberFormat="1" applyFont="1" applyFill="1" applyBorder="1" applyAlignment="1">
      <x:alignment vertical="center" wrapText="1"/>
    </x:xf>
    <x:xf numFmtId="0" fontId="1" fillId="0" borderId="0" xfId="0" applyNumberFormat="1" applyFont="1" applyFill="1" applyBorder="1" applyAlignment="1">
      <x:alignment vertical="center" wrapText="1"/>
    </x:xf>
    <x:xf numFmtId="0" fontId="7" fillId="0" borderId="0" xfId="0" applyNumberFormat="1" applyFont="1" applyFill="1" applyBorder="1" applyAlignment="1">
      <x:alignment vertical="center" wrapText="1"/>
    </x:xf>
    <x:xf numFmtId="0" fontId="1" fillId="4" borderId="0" xfId="0" applyNumberFormat="1" applyFont="1" applyFill="1" applyBorder="1" applyAlignment="1">
      <x:alignment vertical="center"/>
    </x:xf>
    <x:xf numFmtId="0" fontId="4" fillId="4" borderId="0" xfId="0" applyNumberFormat="1" applyFont="1" applyFill="1" applyBorder="1" applyAlignment="1">
      <x:alignment vertical="center"/>
    </x:xf>
    <x:xf numFmtId="202" fontId="4" fillId="4" borderId="0" xfId="0" applyNumberFormat="1" applyFont="1" applyFill="1" applyBorder="1" applyAlignment="1">
      <x:alignment vertical="center"/>
    </x:xf>
    <x:xf numFmtId="201" fontId="4" fillId="4" borderId="0" xfId="0" applyNumberFormat="1" applyFont="1" applyFill="1" applyBorder="1" applyAlignment="1">
      <x:alignment vertical="center"/>
    </x:xf>
    <x:xf numFmtId="201" fontId="1" fillId="6" borderId="0" xfId="0" applyNumberFormat="1" applyFont="1" applyFill="1" applyBorder="1" applyAlignment="1">
      <x:alignment vertical="center"/>
    </x:xf>
    <x:xf numFmtId="202" fontId="4" fillId="4" borderId="0" xfId="0" applyNumberFormat="1" applyFont="1" applyFill="1" applyBorder="1" applyAlignment="1">
      <x:alignment horizontal="right" vertical="center"/>
    </x:xf>
    <x:xf numFmtId="0" fontId="1" fillId="6" borderId="0" xfId="0" applyNumberFormat="1" applyFont="1" applyFill="1" applyBorder="1" applyAlignment="1">
      <x:alignment horizontal="right" vertical="center"/>
    </x:xf>
    <x:xf numFmtId="201" fontId="1" fillId="6" borderId="0" xfId="0" applyNumberFormat="1" applyFont="1" applyFill="1" applyBorder="1" applyAlignment="1">
      <x:alignment horizontal="right" vertical="center"/>
    </x:xf>
    <x:xf numFmtId="0" fontId="1" fillId="7" borderId="0" xfId="0" applyNumberFormat="1" applyFont="1" applyFill="1" applyBorder="1" applyAlignment="1">
      <x:alignment vertical="center"/>
    </x:xf>
    <x:xf numFmtId="0" fontId="1" fillId="7" borderId="0" xfId="0" applyNumberFormat="1" applyFont="1" applyFill="1" applyBorder="1" applyAlignment="1">
      <x:alignment vertical="center" wrapText="1"/>
    </x:xf>
    <x:xf numFmtId="201" fontId="1" fillId="7" borderId="0" xfId="0" applyNumberFormat="1" applyFont="1" applyFill="1" applyBorder="1" applyAlignment="1">
      <x:alignment vertical="center"/>
    </x:xf>
    <x:xf numFmtId="0" fontId="1" fillId="7" borderId="0" xfId="0" applyNumberFormat="1" applyFont="1" applyFill="1" applyBorder="1" applyAlignment="1">
      <x:alignment horizontal="right" vertical="center"/>
    </x:xf>
    <x:xf numFmtId="201" fontId="1" fillId="7" borderId="0" xfId="0" applyNumberFormat="1" applyFont="1" applyFill="1" applyBorder="1" applyAlignment="1">
      <x:alignment horizontal="right" vertical="center"/>
    </x:xf>
    <x:xf numFmtId="0" fontId="1" fillId="8" borderId="0" xfId="0" applyNumberFormat="1" applyFont="1" applyFill="1" applyBorder="1" applyAlignment="1">
      <x:alignment vertical="center"/>
    </x:xf>
    <x:xf numFmtId="0" fontId="6" fillId="8" borderId="0" xfId="0" applyNumberFormat="1" applyFont="1" applyFill="1" applyBorder="1" applyAlignment="1">
      <x:alignment vertical="center"/>
    </x:xf>
    <x:xf numFmtId="0" fontId="6" fillId="8" borderId="0" xfId="0" applyNumberFormat="1" applyFont="1" applyFill="1" applyBorder="1" applyAlignment="1">
      <x:alignment horizontal="center" vertical="center"/>
    </x:xf>
    <x:xf numFmtId="0" fontId="1" fillId="9" borderId="0" xfId="0" applyNumberFormat="1" applyFont="1" applyFill="1" applyBorder="1" applyAlignment="1">
      <x:alignment vertical="center"/>
    </x:xf>
    <x:xf numFmtId="0" fontId="4" fillId="9" borderId="0" xfId="0" applyNumberFormat="1" applyFont="1" applyFill="1" applyBorder="1" applyAlignment="1">
      <x:alignment vertical="center"/>
    </x:xf>
    <x:xf numFmtId="201" fontId="4" fillId="9" borderId="0" xfId="0" applyNumberFormat="1" applyFont="1" applyFill="1" applyBorder="1" applyAlignment="1">
      <x:alignment vertical="center"/>
    </x:xf>
    <x:xf numFmtId="201" fontId="4" fillId="9" borderId="0" xfId="0" applyNumberFormat="1" applyFont="1" applyFill="1" applyBorder="1" applyAlignment="1">
      <x:alignment horizontal="right" vertical="center"/>
    </x:xf>
    <x:xf numFmtId="0" fontId="1" fillId="10" borderId="0" xfId="0" applyNumberFormat="1" applyFont="1" applyFill="1" applyBorder="1" applyAlignment="1">
      <x:alignment vertical="center" wrapText="1"/>
    </x:xf>
    <x:xf numFmtId="0" fontId="1" fillId="11" borderId="0" xfId="0" applyNumberFormat="1" applyFont="1" applyFill="1" applyBorder="1" applyAlignment="1">
      <x:alignment vertical="center" wrapText="1"/>
    </x:xf>
    <x:xf numFmtId="0" fontId="1" fillId="9" borderId="1" xfId="0" applyNumberFormat="1" applyFont="1" applyFill="1" applyBorder="1" applyAlignment="1">
      <x:alignment vertical="center"/>
    </x:xf>
    <x:xf numFmtId="0" fontId="4" fillId="9" borderId="1" xfId="0" applyNumberFormat="1" applyFont="1" applyFill="1" applyBorder="1" applyAlignment="1">
      <x:alignment vertical="center"/>
    </x:xf>
    <x:xf numFmtId="201" fontId="4" fillId="12" borderId="0" xfId="0" applyNumberFormat="1" applyFont="1" applyFill="1" applyBorder="1" applyAlignment="1">
      <x:alignment horizontal="right" vertical="center"/>
    </x:xf>
    <x:xf numFmtId="201" fontId="8" fillId="12" borderId="0" xfId="0" applyNumberFormat="1" applyFont="1" applyFill="1" applyBorder="1" applyAlignment="1">
      <x:alignment horizontal="right" vertical="center"/>
    </x:xf>
    <x:xf numFmtId="202" fontId="4" fillId="12" borderId="0" xfId="0" applyNumberFormat="1" applyFont="1" applyFill="1" applyBorder="1" applyAlignment="1">
      <x:alignment horizontal="right" vertical="center"/>
    </x:xf>
    <x:xf numFmtId="202" fontId="8" fillId="12" borderId="0" xfId="0" applyNumberFormat="1" applyFont="1" applyFill="1" applyBorder="1" applyAlignment="1">
      <x:alignment horizontal="right" vertical="center"/>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975ea87de6dd4258" /><Relationship Type="http://schemas.openxmlformats.org/officeDocument/2006/relationships/theme" Target="/xl/theme/theme1.xml" Id="R4c7eb1faadac4c70" /><Relationship Type="http://schemas.openxmlformats.org/officeDocument/2006/relationships/sharedStrings" Target="/xl/sharedStrings.xml" Id="R2e4bba1a15384958" /><Relationship Type="http://schemas.openxmlformats.org/officeDocument/2006/relationships/worksheet" Target="/xl/worksheets/sheet1.xml" Id="R43d94456565b4e95" /><Relationship Type="http://schemas.openxmlformats.org/officeDocument/2006/relationships/worksheet" Target="/xl/worksheets/sheet2.xml" Id="R1d0fd8f4635749c3" /><Relationship Type="http://schemas.openxmlformats.org/officeDocument/2006/relationships/worksheet" Target="/xl/worksheets/sheet3.xml" Id="R98ebe40c3c914fd5"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Pr>
    <x:tabColor rgb="FF263D5A"/>
  </x:sheetPr>
  <x:sheetViews>
    <x:sheetView showGridLines="0" workbookViewId="0">
      <x:pane xSplit="3" ySplit="18" topLeftCell="D19" activePane="bottomRight" state="frozen"/>
    </x:sheetView>
  </x:sheetViews>
  <x:sheetFormatPr defaultRowHeight="15"/>
  <x:cols>
    <x:col min="1" max="1" width="3" hidden="0" customWidth="1"/>
    <x:col min="2" max="2" width="8" hidden="0" customWidth="1"/>
    <x:col min="3" max="3" width="31" hidden="0" customWidth="1"/>
    <x:col min="4" max="4" width="53" hidden="0" customWidth="1"/>
    <x:col min="5" max="5" width="7" hidden="0" customWidth="1"/>
    <x:col min="6" max="6" width="9" hidden="0" customWidth="1"/>
    <x:col min="7" max="7" width="14" hidden="0" customWidth="1"/>
    <x:col min="8" max="8" width="16" hidden="0" customWidth="1"/>
    <x:col min="9" max="9" width="20" hidden="0" customWidth="1"/>
    <x:col min="10" max="10" width="3" hidden="0" customWidth="1"/>
    <x:col min="11" max="11" width="100" hidden="0" customWidth="1"/>
  </x:cols>
  <x:sheetData>
    <x:row r="1" ht="24" customHeight="1">
      <x:c r="A1" s="2"/>
      <x:c r="B1" s="2"/>
      <x:c r="C1" s="2"/>
      <x:c r="D1" s="2"/>
      <x:c r="E1" s="2"/>
      <x:c r="F1" s="2"/>
      <x:c r="G1" s="2"/>
      <x:c r="H1" s="2"/>
      <x:c r="I1" s="2"/>
      <x:c r="J1" s="2"/>
      <x:c r="K1" s="2"/>
    </x:row>
    <x:row r="2" ht="32" customHeight="1">
      <x:c r="A2" s="2"/>
      <x:c r="B2" s="3" t="str">
        <x:v>BOM máy quét 3D dùng ESP32-CAM / ESP32-S3</x:v>
      </x:c>
      <x:c r="C2" s="2"/>
      <x:c r="D2" s="2"/>
      <x:c r="E2" s="2"/>
      <x:c r="F2" s="2"/>
      <x:c r="G2" s="2"/>
      <x:c r="H2" s="2"/>
      <x:c r="I2" s="2"/>
      <x:c r="J2" s="2"/>
      <x:c r="K2" s="2"/>
    </x:row>
    <x:row r="3" ht="24" customHeight="1">
      <x:c r="A3" s="2"/>
      <x:c r="B3" s="4"/>
      <x:c r="C3" s="4" t="str">
        <x:v>Cấu hình đang chọn:</x:v>
      </x:c>
      <x:c r="D3" s="51" t="str">
        <x:v>ESP32-S3-CAM</x:v>
      </x:c>
      <x:c r="E3" s="4"/>
      <x:c r="F3" s="4"/>
      <x:c r="G3" s="4"/>
      <x:c r="H3" s="4"/>
      <x:c r="I3" s="4" t="str">
        <x:v>14/09/2026</x:v>
      </x:c>
      <x:c r="J3" s="2"/>
      <x:c r="K3" s="2"/>
    </x:row>
    <x:row r="4" ht="24" customHeight="1">
      <x:c r="A4" s="2"/>
      <x:c r="B4" s="2"/>
      <x:c r="C4" s="2"/>
      <x:c r="D4" s="2"/>
      <x:c r="E4" s="2"/>
      <x:c r="F4" s="2"/>
      <x:c r="G4" s="2"/>
      <x:c r="H4" s="2"/>
      <x:c r="I4" s="2"/>
      <x:c r="J4" s="2"/>
      <x:c r="K4" s="2"/>
    </x:row>
    <x:row r="5" ht="24" customHeight="1">
      <x:c r="A5" s="2"/>
      <x:c r="B5" s="2"/>
      <x:c r="C5" s="6" t="str">
        <x:v>Nhóm linh kiện</x:v>
      </x:c>
      <x:c r="D5" s="6"/>
      <x:c r="E5" s="6"/>
      <x:c r="F5" s="6"/>
      <x:c r="G5" s="6"/>
      <x:c r="H5" s="6" t="str">
        <x:v>Dự toán (VND)</x:v>
      </x:c>
      <x:c r="I5" s="6"/>
      <x:c r="J5" s="2"/>
      <x:c r="K5" s="2"/>
    </x:row>
    <x:row r="6" ht="24" customHeight="1">
      <x:c r="A6" s="2"/>
      <x:c r="B6" s="2"/>
      <x:c r="C6" s="2" t="str">
        <x:v>Camera và điều khiển</x:v>
      </x:c>
      <x:c r="D6" s="2"/>
      <x:c r="E6" s="2"/>
      <x:c r="F6" s="2"/>
      <x:c r="G6" s="2"/>
      <x:c r="H6" s="13" t="n">
        <x:f>SUM(H19:H27)</x:f>
        <x:v>480000</x:v>
      </x:c>
      <x:c r="I6" s="2"/>
      <x:c r="J6" s="2"/>
      <x:c r="K6" s="2"/>
    </x:row>
    <x:row r="7" ht="24" customHeight="1">
      <x:c r="A7" s="2"/>
      <x:c r="B7" s="2"/>
      <x:c r="C7" s="2" t="str">
        <x:v>Nguồn điện</x:v>
      </x:c>
      <x:c r="D7" s="2"/>
      <x:c r="E7" s="2"/>
      <x:c r="F7" s="2"/>
      <x:c r="G7" s="2"/>
      <x:c r="H7" s="13" t="n">
        <x:f>SUM(H28:H32)</x:f>
        <x:v>250000</x:v>
      </x:c>
      <x:c r="I7" s="2"/>
      <x:c r="J7" s="2"/>
      <x:c r="K7" s="2"/>
    </x:row>
    <x:row r="8" ht="24" customHeight="1">
      <x:c r="A8" s="2"/>
      <x:c r="B8" s="2"/>
      <x:c r="C8" s="2" t="str">
        <x:v>Cơ khí</x:v>
      </x:c>
      <x:c r="D8" s="2"/>
      <x:c r="E8" s="2"/>
      <x:c r="F8" s="2"/>
      <x:c r="G8" s="2"/>
      <x:c r="H8" s="13" t="n">
        <x:f>SUM(H33:H47)</x:f>
        <x:v>840000</x:v>
      </x:c>
      <x:c r="I8" s="2"/>
      <x:c r="J8" s="2"/>
      <x:c r="K8" s="2"/>
    </x:row>
    <x:row r="9" ht="24" customHeight="1">
      <x:c r="A9" s="2"/>
      <x:c r="B9" s="2"/>
      <x:c r="C9" s="2" t="str">
        <x:v>PCB và hiệu chuẩn</x:v>
      </x:c>
      <x:c r="D9" s="2"/>
      <x:c r="E9" s="2"/>
      <x:c r="F9" s="2"/>
      <x:c r="G9" s="2"/>
      <x:c r="H9" s="13" t="n">
        <x:f>SUM(H48:H53)</x:f>
        <x:v>530000</x:v>
      </x:c>
      <x:c r="I9" s="2"/>
      <x:c r="J9" s="2"/>
      <x:c r="K9" s="2"/>
    </x:row>
    <x:row r="10" ht="24" customHeight="1">
      <x:c r="A10" s="2"/>
      <x:c r="B10" s="2"/>
      <x:c r="C10" s="2" t="str">
        <x:v>Tổng linh kiện</x:v>
      </x:c>
      <x:c r="D10" s="2"/>
      <x:c r="E10" s="2"/>
      <x:c r="F10" s="2"/>
      <x:c r="G10" s="2"/>
      <x:c r="H10" s="13" t="n">
        <x:f>IF(COUNT(E19:E53)+COUNT(G19:G53)=70,SUM(H6:H9),NA())</x:f>
        <x:v>2100000</x:v>
      </x:c>
      <x:c r="I10" s="2"/>
      <x:c r="J10" s="2"/>
      <x:c r="K10" s="2"/>
    </x:row>
    <x:row r="11" ht="24" customHeight="1">
      <x:c r="A11" s="2"/>
      <x:c r="B11" s="2"/>
      <x:c r="C11" s="2" t="str">
        <x:v>Dự phòng phát sinh</x:v>
      </x:c>
      <x:c r="D11" s="2"/>
      <x:c r="E11" s="2"/>
      <x:c r="F11" s="2"/>
      <x:c r="G11" s="16" t="n">
        <x:v>0.15</x:v>
      </x:c>
      <x:c r="H11" s="13" t="n">
        <x:f>H10*G11</x:f>
        <x:v>315000</x:v>
      </x:c>
      <x:c r="I11" s="2"/>
      <x:c r="J11" s="2"/>
      <x:c r="K11" s="2"/>
    </x:row>
    <x:row r="12" ht="24" customHeight="1">
      <x:c r="A12" s="2"/>
      <x:c r="B12" s="2"/>
      <x:c r="C12" s="2" t="str">
        <x:v>Vận chuyển dự kiến</x:v>
      </x:c>
      <x:c r="D12" s="2"/>
      <x:c r="E12" s="2"/>
      <x:c r="F12" s="2"/>
      <x:c r="G12" s="2"/>
      <x:c r="H12" s="18" t="n">
        <x:v>80000</x:v>
      </x:c>
      <x:c r="I12" s="2"/>
      <x:c r="J12" s="2"/>
      <x:c r="K12" s="2"/>
    </x:row>
    <x:row r="13" ht="24" customHeight="1">
      <x:c r="A13" s="2"/>
      <x:c r="B13" s="2"/>
      <x:c r="C13" s="10" t="str">
        <x:v>Tổng ngân sách</x:v>
      </x:c>
      <x:c r="D13" s="10"/>
      <x:c r="E13" s="10"/>
      <x:c r="F13" s="10"/>
      <x:c r="G13" s="10"/>
      <x:c r="H13" s="14" t="n">
        <x:f>SUM(H10:H12)</x:f>
        <x:v>2495000</x:v>
      </x:c>
      <x:c r="I13" s="10"/>
      <x:c r="J13" s="2"/>
      <x:c r="K13" s="2"/>
    </x:row>
    <x:row r="14" ht="24" customHeight="1">
      <x:c r="A14" s="2"/>
      <x:c r="B14" s="2"/>
      <x:c r="C14" s="2"/>
      <x:c r="D14" s="2"/>
      <x:c r="E14" s="2"/>
      <x:c r="F14" s="2"/>
      <x:c r="G14" s="2"/>
      <x:c r="H14" s="2"/>
      <x:c r="I14" s="2"/>
      <x:c r="J14" s="2"/>
      <x:c r="K14" s="2"/>
    </x:row>
    <x:row r="15" ht="24" customHeight="1">
      <x:c r="A15" s="2"/>
      <x:c r="B15" s="19" t="str">
        <x:v>Một laser, đai 3:1, dựng 3D trên laptop. Giá dự toán làm tròn; các giả định/nguồn ở cột K và trang Chon bo.</x:v>
      </x:c>
      <x:c r="C15" s="19"/>
      <x:c r="D15" s="19"/>
      <x:c r="E15" s="19"/>
      <x:c r="F15" s="19"/>
      <x:c r="G15" s="19"/>
      <x:c r="H15" s="19"/>
      <x:c r="I15" s="19"/>
      <x:c r="J15" s="2"/>
      <x:c r="K15" s="2"/>
    </x:row>
    <x:row r="16" ht="24" customHeight="1">
      <x:c r="A16" s="2"/>
      <x:c r="B16" s="19" t="str">
        <x:v>Sửa SL/đơn giá ô vàng; giá khối camera sửa ở Chon bo. Tổng chưa gồm laptop, dụng cụ hàn/đo và phần tùy chọn.</x:v>
      </x:c>
      <x:c r="C16" s="19"/>
      <x:c r="D16" s="19"/>
      <x:c r="E16" s="19"/>
      <x:c r="F16" s="19"/>
      <x:c r="G16" s="19"/>
      <x:c r="H16" s="19"/>
      <x:c r="I16" s="19"/>
      <x:c r="J16" s="2"/>
      <x:c r="K16" s="2"/>
    </x:row>
    <x:row r="17" ht="24" customHeight="1">
      <x:c r="A17" s="2"/>
      <x:c r="B17" s="2"/>
      <x:c r="C17" s="2"/>
      <x:c r="D17" s="2"/>
      <x:c r="E17" s="2"/>
      <x:c r="F17" s="2"/>
      <x:c r="G17" s="2"/>
      <x:c r="H17" s="2"/>
      <x:c r="I17" s="2"/>
      <x:c r="J17" s="2"/>
      <x:c r="K17" s="2"/>
    </x:row>
    <x:row r="18" ht="30" customHeight="1">
      <x:c r="A18" s="2"/>
      <x:c r="B18" s="22" t="str">
        <x:v>Mã</x:v>
      </x:c>
      <x:c r="C18" s="22" t="str">
        <x:v>Hạng mục</x:v>
      </x:c>
      <x:c r="D18" s="22" t="str">
        <x:v>Thông số cần mua</x:v>
      </x:c>
      <x:c r="E18" s="22" t="str">
        <x:v>SL</x:v>
      </x:c>
      <x:c r="F18" s="22" t="str">
        <x:v>Đơn vị</x:v>
      </x:c>
      <x:c r="G18" s="22" t="str">
        <x:v>Đơn giá (đ)</x:v>
      </x:c>
      <x:c r="H18" s="22" t="str">
        <x:v>Thành tiền (đ)</x:v>
      </x:c>
      <x:c r="I18" s="22" t="str">
        <x:v>Giai đoạn mua</x:v>
      </x:c>
      <x:c r="J18" s="2"/>
      <x:c r="K18" s="23" t="str">
        <x:v>Nguồn giá hoặc cơ sở dự toán; tra cứu ngày 13/09/2026</x:v>
      </x:c>
    </x:row>
    <x:row r="19" ht="46" customHeight="1">
      <x:c r="A19" s="2"/>
      <x:c r="B19" s="24" t="str">
        <x:v>A01</x:v>
      </x:c>
      <x:c r="C19" s="25" t="str">
        <x:f>$D$3&amp;" + OV2640 + lens"</x:f>
        <x:v>ESP32-S3-CAM + OV2640 + lens</x:v>
      </x:c>
      <x:c r="D19" s="25" t="str">
        <x:f>IF($D$3="ESP32-CAM","Ai-Thinker, PSRAM 4 MB, mua đủ camera/lens.","S3-CAM N8R8/N16R8, PSRAM 8 MB, đủ OV2640/lens, USB nạp và sơ đồ chân.")</x:f>
        <x:v>S3-CAM N8R8/N16R8, PSRAM 8 MB, đủ OV2640/lens, USB nạp và sơ đồ chân.</x:v>
      </x:c>
      <x:c r="E19" s="33" t="n">
        <x:v>1</x:v>
      </x:c>
      <x:c r="F19" s="34" t="str">
        <x:v>bộ</x:v>
      </x:c>
      <x:c r="G19" s="53" t="n">
        <x:f>VLOOKUP($D$3,'Chon bo'!$B$7:$E$8,2,FALSE)</x:f>
        <x:v>300000</x:v>
      </x:c>
      <x:c r="H19" s="35" t="n">
        <x:f>E19*G19</x:f>
        <x:v>300000</x:v>
      </x:c>
      <x:c r="I19" s="25" t="str">
        <x:v>1. Thử ảnh</x:v>
      </x:c>
      <x:c r="J19" s="2"/>
      <x:c r="K19" s="27" t="str">
        <x:v>Nguồn và đơn giá đầu vào tại trang Chon bo.</x:v>
      </x:c>
    </x:row>
    <x:row r="20" ht="46" customHeight="1">
      <x:c r="A20" s="2"/>
      <x:c r="B20" s="36" t="str">
        <x:v>A02</x:v>
      </x:c>
      <x:c r="C20" s="37" t="str">
        <x:v>Mạch nạp rời</x:v>
      </x:c>
      <x:c r="D20" s="37" t="str">
        <x:v>ESP32-CAM: đế MB hoặc CP2102. S3-CAM đã có USB nạp: không mua mạch nạp rời.</x:v>
      </x:c>
      <x:c r="E20" s="55" t="n">
        <x:f>IF($D$3="ESP32-CAM",1,0)</x:f>
        <x:v>0</x:v>
      </x:c>
      <x:c r="F20" s="39" t="str">
        <x:v>cái</x:v>
      </x:c>
      <x:c r="G20" s="53" t="n">
        <x:f>VLOOKUP($D$3,'Chon bo'!$B$7:$E$8,3,FALSE)</x:f>
        <x:v>0</x:v>
      </x:c>
      <x:c r="H20" s="40" t="n">
        <x:f>E20*G20</x:f>
        <x:v>0</x:v>
      </x:c>
      <x:c r="I20" s="37" t="str">
        <x:v>1. Thử ảnh</x:v>
      </x:c>
      <x:c r="J20" s="2"/>
      <x:c r="K20" s="27" t="str">
        <x:v>Có CP2102 sẵn: đặt giá mạch nạp của ESP32-CAM về 0 tại Chon bo!D7.</x:v>
      </x:c>
    </x:row>
    <x:row r="21" ht="46" customHeight="1">
      <x:c r="A21" s="2"/>
      <x:c r="B21" s="24" t="str">
        <x:v>A03</x:v>
      </x:c>
      <x:c r="C21" s="25" t="str">
        <x:v>Cáp USB truyền dữ liệu</x:v>
      </x:c>
      <x:c r="D21" s="25" t="str">
        <x:v>Cáp truyền dữ liệu; đầu cáp khớp đế nạp hoặc USB trên bo S3.</x:v>
      </x:c>
      <x:c r="E21" s="33" t="n">
        <x:v>1</x:v>
      </x:c>
      <x:c r="F21" s="34" t="str">
        <x:v>sợi</x:v>
      </x:c>
      <x:c r="G21" s="53" t="n">
        <x:f>VLOOKUP($D$3,'Chon bo'!$B$7:$E$8,4,FALSE)</x:f>
        <x:v>25000</x:v>
      </x:c>
      <x:c r="H21" s="35" t="n">
        <x:f>E21*G21</x:f>
        <x:v>25000</x:v>
      </x:c>
      <x:c r="I21" s="25" t="str">
        <x:v>1. Thử ảnh</x:v>
      </x:c>
      <x:c r="J21" s="2"/>
      <x:c r="K21" s="27" t="str">
        <x:v>Dự toán cáp 25.000 đ; có sẵn cáp phù hợp thì đặt giá cáp ở Chon bo về 0.</x:v>
      </x:c>
    </x:row>
    <x:row r="22" ht="46" customHeight="1">
      <x:c r="A22" s="2"/>
      <x:c r="B22" s="36" t="str">
        <x:v>A04</x:v>
      </x:c>
      <x:c r="C22" s="37" t="str">
        <x:v>Module laser vạch đỏ</x:v>
      </x:c>
      <x:c r="D22" s="37" t="str">
        <x:v>650 nm, cấp 3–5 V; có mạch hạn dòng. Ưu tiên vạch mảnh tại khoảng quét.</x:v>
      </x:c>
      <x:c r="E22" s="33" t="n">
        <x:v>1</x:v>
      </x:c>
      <x:c r="F22" s="39" t="str">
        <x:v>cái</x:v>
      </x:c>
      <x:c r="G22" s="18" t="n">
        <x:v>35000</x:v>
      </x:c>
      <x:c r="H22" s="40" t="n">
        <x:f>E22*G22</x:f>
        <x:v>35000</x:v>
      </x:c>
      <x:c r="I22" s="37" t="str">
        <x:v>2. Thử vạch</x:v>
      </x:c>
      <x:c r="J22" s="2"/>
      <x:c r="K22" s="27" t="str">
        <x:v>Hshop HS0956: niêm yết 25.000 đ, công suất quảng cáo 5 mW; dự trù 35.000 đ. https://hshop.vn/mat-laser-duong-thang</x:v>
      </x:c>
    </x:row>
    <x:row r="23" ht="46" customHeight="1">
      <x:c r="A23" s="2"/>
      <x:c r="B23" s="24" t="str">
        <x:v>A05</x:v>
      </x:c>
      <x:c r="C23" s="25" t="str">
        <x:v>Driver A4988 + tản nhiệt</x:v>
      </x:c>
      <x:c r="D23" s="25" t="str">
        <x:v>Điều khiển STEP/DIR; VDD 3,3 V, VMOT 12 V; đặt giới hạn dòng theo motor.</x:v>
      </x:c>
      <x:c r="E23" s="33" t="n">
        <x:v>1</x:v>
      </x:c>
      <x:c r="F23" s="34" t="str">
        <x:v>bộ</x:v>
      </x:c>
      <x:c r="G23" s="18" t="n">
        <x:v>35000</x:v>
      </x:c>
      <x:c r="H23" s="35" t="n">
        <x:f>E23*G23</x:f>
        <x:v>35000</x:v>
      </x:c>
      <x:c r="I23" s="25" t="str">
        <x:v>3. Bàn xoay</x:v>
      </x:c>
      <x:c r="J23" s="2"/>
      <x:c r="K23" s="27" t="str">
        <x:v>Đức Huy niêm yết 30.000 đ kèm tản nhiệt; dự trù 35.000 đ. https://dientuduchuy.com/products/a4988-stepper-driver-dieu-khien-dong-co-buoc-co-tan-nhiet</x:v>
      </x:c>
    </x:row>
    <x:row r="24" ht="46" customHeight="1">
      <x:c r="A24" s="2"/>
      <x:c r="B24" s="36" t="str">
        <x:v>A06</x:v>
      </x:c>
      <x:c r="C24" s="37" t="str">
        <x:v>MOSFET và điện trở</x:v>
      </x:c>
      <x:c r="D24" s="37" t="str">
        <x:v>AO3400A; R gate 100 Ω, kéo gate xuống 10 kΩ; thêm R kéo cho STEP/DIR/HOME.</x:v>
      </x:c>
      <x:c r="E24" s="33" t="n">
        <x:v>1</x:v>
      </x:c>
      <x:c r="F24" s="39" t="str">
        <x:v>gói</x:v>
      </x:c>
      <x:c r="G24" s="18" t="n">
        <x:v>20000</x:v>
      </x:c>
      <x:c r="H24" s="40" t="n">
        <x:f>E24*G24</x:f>
        <x:v>20000</x:v>
      </x:c>
      <x:c r="I24" s="37" t="str">
        <x:v>2. Thử vạch</x:v>
      </x:c>
      <x:c r="J24" s="2"/>
      <x:c r="K24" s="27" t="str">
        <x:v>Dự toán kỹ thuật; chưa có báo giá cho đúng cấu hình.</x:v>
      </x:c>
    </x:row>
    <x:row r="25" ht="46" customHeight="1">
      <x:c r="A25" s="2"/>
      <x:c r="B25" s="24" t="str">
        <x:v>A07</x:v>
      </x:c>
      <x:c r="C25" s="25" t="str">
        <x:v>Công tắc HOME</x:v>
      </x:c>
      <x:c r="D25" s="25" t="str">
        <x:v>Microswitch có cần gạt; xác lập vị trí gốc, không đo góc liên tục.</x:v>
      </x:c>
      <x:c r="E25" s="33" t="n">
        <x:v>1</x:v>
      </x:c>
      <x:c r="F25" s="34" t="str">
        <x:v>cái</x:v>
      </x:c>
      <x:c r="G25" s="18" t="n">
        <x:v>10000</x:v>
      </x:c>
      <x:c r="H25" s="35" t="n">
        <x:f>E25*G25</x:f>
        <x:v>10000</x:v>
      </x:c>
      <x:c r="I25" s="25" t="str">
        <x:v>3. Bàn xoay</x:v>
      </x:c>
      <x:c r="J25" s="2"/>
      <x:c r="K25" s="27" t="str">
        <x:v>Dự toán kỹ thuật; chưa có báo giá cho đúng cấu hình.</x:v>
      </x:c>
    </x:row>
    <x:row r="26" ht="46" customHeight="1">
      <x:c r="A26" s="2"/>
      <x:c r="B26" s="36" t="str">
        <x:v>A08</x:v>
      </x:c>
      <x:c r="C26" s="37" t="str">
        <x:v>Công tắc cửa buồng</x:v>
      </x:c>
      <x:c r="D26" s="37" t="str">
        <x:v>Đóng mạch khi cửa đóng; mở cửa ngắt nguồn laser bằng phần cứng.</x:v>
      </x:c>
      <x:c r="E26" s="33" t="n">
        <x:v>1</x:v>
      </x:c>
      <x:c r="F26" s="39" t="str">
        <x:v>cái</x:v>
      </x:c>
      <x:c r="G26" s="18" t="n">
        <x:v>20000</x:v>
      </x:c>
      <x:c r="H26" s="40" t="n">
        <x:f>E26*G26</x:f>
        <x:v>20000</x:v>
      </x:c>
      <x:c r="I26" s="37" t="str">
        <x:v>2. Thử vạch</x:v>
      </x:c>
      <x:c r="J26" s="2"/>
      <x:c r="K26" s="27" t="str">
        <x:v>Dự toán kỹ thuật; chưa có báo giá cho đúng cấu hình.</x:v>
      </x:c>
    </x:row>
    <x:row r="27" ht="46" customHeight="1">
      <x:c r="A27" s="2"/>
      <x:c r="B27" s="24" t="str">
        <x:v>A09</x:v>
      </x:c>
      <x:c r="C27" s="25" t="str">
        <x:v>Nút dừng tự giữ</x:v>
      </x:c>
      <x:c r="D27" s="25" t="str">
        <x:v>Tiếp điểm NC, phù hợp tải DC; ngắt nhánh nguồn động lực/laser.</x:v>
      </x:c>
      <x:c r="E27" s="33" t="n">
        <x:v>1</x:v>
      </x:c>
      <x:c r="F27" s="34" t="str">
        <x:v>cái</x:v>
      </x:c>
      <x:c r="G27" s="18" t="n">
        <x:v>35000</x:v>
      </x:c>
      <x:c r="H27" s="35" t="n">
        <x:f>E27*G27</x:f>
        <x:v>35000</x:v>
      </x:c>
      <x:c r="I27" s="25" t="str">
        <x:v>3. Bàn xoay</x:v>
      </x:c>
      <x:c r="J27" s="2"/>
      <x:c r="K27" s="27" t="str">
        <x:v>Dự toán kỹ thuật; chưa có báo giá cho đúng cấu hình.</x:v>
      </x:c>
    </x:row>
    <x:row r="28" ht="46" customHeight="1">
      <x:c r="A28" s="2"/>
      <x:c r="B28" s="36" t="str">
        <x:v>B01</x:v>
      </x:c>
      <x:c r="C28" s="37" t="str">
        <x:v>Adapter 12 V / 3 A</x:v>
      </x:c>
      <x:c r="D28" s="37" t="str">
        <x:v>Nguồn có vỏ kín, jack DC; cấp động cơ và bộ hạ áp.</x:v>
      </x:c>
      <x:c r="E28" s="33" t="n">
        <x:v>1</x:v>
      </x:c>
      <x:c r="F28" s="39" t="str">
        <x:v>cái</x:v>
      </x:c>
      <x:c r="G28" s="18" t="n">
        <x:v>120000</x:v>
      </x:c>
      <x:c r="H28" s="40" t="n">
        <x:f>E28*G28</x:f>
        <x:v>120000</x:v>
      </x:c>
      <x:c r="I28" s="37" t="str">
        <x:v>2. Thử vạch</x:v>
      </x:c>
      <x:c r="J28" s="2"/>
      <x:c r="K28" s="27" t="str">
        <x:v>Dự toán kỹ thuật; chưa có báo giá cho đúng cấu hình.</x:v>
      </x:c>
    </x:row>
    <x:row r="29" ht="46" customHeight="1">
      <x:c r="A29" s="2"/>
      <x:c r="B29" s="24" t="str">
        <x:v>B02</x:v>
      </x:c>
      <x:c r="C29" s="25" t="str">
        <x:v>Module hạ áp DC-DC</x:v>
      </x:c>
      <x:c r="D29" s="25" t="str">
        <x:v>LM2596 hoặc tương đương; chỉnh 12 V xuống 5 V, kiểm tra tải ≥1 A liên tục.</x:v>
      </x:c>
      <x:c r="E29" s="33" t="n">
        <x:v>1</x:v>
      </x:c>
      <x:c r="F29" s="34" t="str">
        <x:v>cái</x:v>
      </x:c>
      <x:c r="G29" s="18" t="n">
        <x:v>35000</x:v>
      </x:c>
      <x:c r="H29" s="35" t="n">
        <x:f>E29*G29</x:f>
        <x:v>35000</x:v>
      </x:c>
      <x:c r="I29" s="25" t="str">
        <x:v>2. Thử vạch</x:v>
      </x:c>
      <x:c r="J29" s="2"/>
      <x:c r="K29" s="27" t="str">
        <x:v>Dự toán kỹ thuật; chưa có báo giá cho đúng cấu hình.</x:v>
      </x:c>
    </x:row>
    <x:row r="30" ht="46" customHeight="1">
      <x:c r="A30" s="2"/>
      <x:c r="B30" s="36" t="str">
        <x:v>B03</x:v>
      </x:c>
      <x:c r="C30" s="37" t="str">
        <x:v>Tụ lọc và tụ chống nhiễu</x:v>
      </x:c>
      <x:c r="D30" s="37" t="str">
        <x:v>100 µF/35 V gần VMOT; 470–1000 µF/10 V gần camera; 100 nF tại tải.</x:v>
      </x:c>
      <x:c r="E30" s="33" t="n">
        <x:v>1</x:v>
      </x:c>
      <x:c r="F30" s="39" t="str">
        <x:v>gói</x:v>
      </x:c>
      <x:c r="G30" s="18" t="n">
        <x:v>15000</x:v>
      </x:c>
      <x:c r="H30" s="40" t="n">
        <x:f>E30*G30</x:f>
        <x:v>15000</x:v>
      </x:c>
      <x:c r="I30" s="37" t="str">
        <x:v>2. Thử vạch</x:v>
      </x:c>
      <x:c r="J30" s="2"/>
      <x:c r="K30" s="27" t="str">
        <x:v>Giá là dự toán. Khuyến nghị tụ VMOT từ Pololu: https://www.pololu.com/product/1182</x:v>
      </x:c>
    </x:row>
    <x:row r="31" ht="46" customHeight="1">
      <x:c r="A31" s="2"/>
      <x:c r="B31" s="24" t="str">
        <x:v>B04</x:v>
      </x:c>
      <x:c r="C31" s="25" t="str">
        <x:v>Jack DC, công tắc, cầu chì</x:v>
      </x:c>
      <x:c r="D31" s="25" t="str">
        <x:v>Jack DC khớp adapter; công tắc tổng, đế và cầu chì DC phù hợp dây/tải.</x:v>
      </x:c>
      <x:c r="E31" s="33" t="n">
        <x:v>1</x:v>
      </x:c>
      <x:c r="F31" s="34" t="str">
        <x:v>bộ</x:v>
      </x:c>
      <x:c r="G31" s="18" t="n">
        <x:v>30000</x:v>
      </x:c>
      <x:c r="H31" s="35" t="n">
        <x:f>E31*G31</x:f>
        <x:v>30000</x:v>
      </x:c>
      <x:c r="I31" s="25" t="str">
        <x:v>2. Thử vạch</x:v>
      </x:c>
      <x:c r="J31" s="2"/>
      <x:c r="K31" s="27" t="str">
        <x:v>Dự toán kỹ thuật; chưa có báo giá cho đúng cấu hình.</x:v>
      </x:c>
    </x:row>
    <x:row r="32" ht="46" customHeight="1">
      <x:c r="A32" s="2"/>
      <x:c r="B32" s="36" t="str">
        <x:v>B05</x:v>
      </x:c>
      <x:c r="C32" s="37" t="str">
        <x:v>Dây điện và vật tư đấu nối</x:v>
      </x:c>
      <x:c r="D32" s="37" t="str">
        <x:v>Dây nguồn 22–24 AWG, dây tín hiệu, ống co nhiệt, dây rút; không dẫn dòng motor qua breadboard.</x:v>
      </x:c>
      <x:c r="E32" s="33" t="n">
        <x:v>1</x:v>
      </x:c>
      <x:c r="F32" s="39" t="str">
        <x:v>gói</x:v>
      </x:c>
      <x:c r="G32" s="18" t="n">
        <x:v>50000</x:v>
      </x:c>
      <x:c r="H32" s="40" t="n">
        <x:f>E32*G32</x:f>
        <x:v>50000</x:v>
      </x:c>
      <x:c r="I32" s="37" t="str">
        <x:v>2. Thử vạch</x:v>
      </x:c>
      <x:c r="J32" s="2"/>
      <x:c r="K32" s="27" t="str">
        <x:v>Dự toán kỹ thuật; chưa có báo giá cho đúng cấu hình.</x:v>
      </x:c>
    </x:row>
    <x:row r="33" ht="46" customHeight="1">
      <x:c r="A33" s="2"/>
      <x:c r="B33" s="24" t="str">
        <x:v>C01</x:v>
      </x:c>
      <x:c r="C33" s="25" t="str">
        <x:v>Động cơ NEMA17</x:v>
      </x:c>
      <x:c r="D33" s="25" t="str">
        <x:v>1,8°/bước, 4 dây, trục 5 mm; đặt dòng A4988 ban đầu khoảng 0,6–0,9 A/pha rồi kiểm tra.</x:v>
      </x:c>
      <x:c r="E33" s="33" t="n">
        <x:v>1</x:v>
      </x:c>
      <x:c r="F33" s="34" t="str">
        <x:v>cái</x:v>
      </x:c>
      <x:c r="G33" s="18" t="n">
        <x:v>150000</x:v>
      </x:c>
      <x:c r="H33" s="35" t="n">
        <x:f>E33*G33</x:f>
        <x:v>150000</x:v>
      </x:c>
      <x:c r="I33" s="25" t="str">
        <x:v>3. Bàn xoay</x:v>
      </x:c>
      <x:c r="J33" s="2"/>
      <x:c r="K33" s="27" t="str">
        <x:v>Dự toán kỹ thuật; chưa có báo giá cho đúng cấu hình.</x:v>
      </x:c>
    </x:row>
    <x:row r="34" ht="46" customHeight="1">
      <x:c r="A34" s="2"/>
      <x:c r="B34" s="36" t="str">
        <x:v>C02</x:v>
      </x:c>
      <x:c r="C34" s="37" t="str">
        <x:v>Pulley chủ động GT2</x:v>
      </x:c>
      <x:c r="D34" s="37" t="str">
        <x:v>20 răng, đai rộng 6 mm, lỗ trục 5 mm; có vít chặn.</x:v>
      </x:c>
      <x:c r="E34" s="33" t="n">
        <x:v>1</x:v>
      </x:c>
      <x:c r="F34" s="39" t="str">
        <x:v>cái</x:v>
      </x:c>
      <x:c r="G34" s="18" t="n">
        <x:v>15000</x:v>
      </x:c>
      <x:c r="H34" s="40" t="n">
        <x:f>E34*G34</x:f>
        <x:v>15000</x:v>
      </x:c>
      <x:c r="I34" s="37" t="str">
        <x:v>3. Bàn xoay</x:v>
      </x:c>
      <x:c r="J34" s="2"/>
      <x:c r="K34" s="27" t="str">
        <x:v>Dự toán kỹ thuật; chưa có báo giá cho đúng cấu hình.</x:v>
      </x:c>
    </x:row>
    <x:row r="35" ht="46" customHeight="1">
      <x:c r="A35" s="2"/>
      <x:c r="B35" s="24" t="str">
        <x:v>C03</x:v>
      </x:c>
      <x:c r="C35" s="25" t="str">
        <x:v>Pulley bị động GT2</x:v>
      </x:c>
      <x:c r="D35" s="25" t="str">
        <x:v>60 răng, đai rộng 6 mm, lỗ trục 8 mm; có vít chặn.</x:v>
      </x:c>
      <x:c r="E35" s="33" t="n">
        <x:v>1</x:v>
      </x:c>
      <x:c r="F35" s="34" t="str">
        <x:v>cái</x:v>
      </x:c>
      <x:c r="G35" s="18" t="n">
        <x:v>40000</x:v>
      </x:c>
      <x:c r="H35" s="35" t="n">
        <x:f>E35*G35</x:f>
        <x:v>40000</x:v>
      </x:c>
      <x:c r="I35" s="25" t="str">
        <x:v>3. Bàn xoay</x:v>
      </x:c>
      <x:c r="J35" s="2"/>
      <x:c r="K35" s="27" t="str">
        <x:v>Dự toán kỹ thuật; chưa có báo giá cho đúng cấu hình.</x:v>
      </x:c>
    </x:row>
    <x:row r="36" ht="46" customHeight="1">
      <x:c r="A36" s="2"/>
      <x:c r="B36" s="36" t="str">
        <x:v>C04</x:v>
      </x:c>
      <x:c r="C36" s="37" t="str">
        <x:v>Đai GT2 vòng kín</x:v>
      </x:c>
      <x:c r="D36" s="37" t="str">
        <x:v>Rộng 6 mm; chiều dài chọn sau khi chốt khoảng cách hai trục trong CAD.</x:v>
      </x:c>
      <x:c r="E36" s="33" t="n">
        <x:v>1</x:v>
      </x:c>
      <x:c r="F36" s="39" t="str">
        <x:v>sợi</x:v>
      </x:c>
      <x:c r="G36" s="18" t="n">
        <x:v>25000</x:v>
      </x:c>
      <x:c r="H36" s="40" t="n">
        <x:f>E36*G36</x:f>
        <x:v>25000</x:v>
      </x:c>
      <x:c r="I36" s="37" t="str">
        <x:v>3. Bàn xoay</x:v>
      </x:c>
      <x:c r="J36" s="2"/>
      <x:c r="K36" s="27" t="str">
        <x:v>Dự toán kỹ thuật; chưa có báo giá cho đúng cấu hình.</x:v>
      </x:c>
    </x:row>
    <x:row r="37" ht="46" customHeight="1">
      <x:c r="A37" s="2"/>
      <x:c r="B37" s="24" t="str">
        <x:v>C05</x:v>
      </x:c>
      <x:c r="C37" s="25" t="str">
        <x:v>Trục bàn xoay</x:v>
      </x:c>
      <x:c r="D37" s="25" t="str">
        <x:v>Trục thép trơn Ø8 mm, dài dự kiến 100–150 mm; chốt chiều dài theo thiết kế.</x:v>
      </x:c>
      <x:c r="E37" s="33" t="n">
        <x:v>1</x:v>
      </x:c>
      <x:c r="F37" s="34" t="str">
        <x:v>cái</x:v>
      </x:c>
      <x:c r="G37" s="18" t="n">
        <x:v>20000</x:v>
      </x:c>
      <x:c r="H37" s="35" t="n">
        <x:f>E37*G37</x:f>
        <x:v>20000</x:v>
      </x:c>
      <x:c r="I37" s="25" t="str">
        <x:v>3. Bàn xoay</x:v>
      </x:c>
      <x:c r="J37" s="2"/>
      <x:c r="K37" s="27" t="str">
        <x:v>Dự toán kỹ thuật; chưa có báo giá cho đúng cấu hình.</x:v>
      </x:c>
    </x:row>
    <x:row r="38" ht="46" customHeight="1">
      <x:c r="A38" s="2"/>
      <x:c r="B38" s="36" t="str">
        <x:v>C06</x:v>
      </x:c>
      <x:c r="C38" s="37" t="str">
        <x:v>Gối bi KFL08</x:v>
      </x:c>
      <x:c r="D38" s="37" t="str">
        <x:v>Lỗ 8 mm; bố trí hai gối cách nhau để đỡ hướng kính và hạn chế lắc trục.</x:v>
      </x:c>
      <x:c r="E38" s="33" t="n">
        <x:v>2</x:v>
      </x:c>
      <x:c r="F38" s="39" t="str">
        <x:v>cái</x:v>
      </x:c>
      <x:c r="G38" s="18" t="n">
        <x:v>25000</x:v>
      </x:c>
      <x:c r="H38" s="40" t="n">
        <x:f>E38*G38</x:f>
        <x:v>50000</x:v>
      </x:c>
      <x:c r="I38" s="37" t="str">
        <x:v>3. Bàn xoay</x:v>
      </x:c>
      <x:c r="J38" s="2"/>
      <x:c r="K38" s="27" t="str">
        <x:v>Dự toán kỹ thuật; chưa có báo giá cho đúng cấu hình.</x:v>
      </x:c>
    </x:row>
    <x:row r="39" ht="46" customHeight="1">
      <x:c r="A39" s="2"/>
      <x:c r="B39" s="24" t="str">
        <x:v>C07</x:v>
      </x:c>
      <x:c r="C39" s="25" t="str">
        <x:v>Bích gắn mâm</x:v>
      </x:c>
      <x:c r="D39" s="25" t="str">
        <x:v>Bích kẹp trục lỗ 8 mm, có lỗ bắt vít lên mâm; không phải khớp nối trục 5–8.</x:v>
      </x:c>
      <x:c r="E39" s="33" t="n">
        <x:v>1</x:v>
      </x:c>
      <x:c r="F39" s="34" t="str">
        <x:v>cái</x:v>
      </x:c>
      <x:c r="G39" s="18" t="n">
        <x:v>25000</x:v>
      </x:c>
      <x:c r="H39" s="35" t="n">
        <x:f>E39*G39</x:f>
        <x:v>25000</x:v>
      </x:c>
      <x:c r="I39" s="25" t="str">
        <x:v>3. Bàn xoay</x:v>
      </x:c>
      <x:c r="J39" s="2"/>
      <x:c r="K39" s="27" t="str">
        <x:v>Dự toán kỹ thuật; chưa có báo giá cho đúng cấu hình.</x:v>
      </x:c>
    </x:row>
    <x:row r="40" ht="46" customHeight="1">
      <x:c r="A40" s="2"/>
      <x:c r="B40" s="36" t="str">
        <x:v>C08</x:v>
      </x:c>
      <x:c r="C40" s="37" t="str">
        <x:v>Vòng chặn trục + long đen</x:v>
      </x:c>
      <x:c r="D40" s="37" t="str">
        <x:v>Hai vòng chặn Ø8 mm; định vị dọc trục theo bản vẽ lắp.</x:v>
      </x:c>
      <x:c r="E40" s="33" t="n">
        <x:v>1</x:v>
      </x:c>
      <x:c r="F40" s="39" t="str">
        <x:v>bộ</x:v>
      </x:c>
      <x:c r="G40" s="18" t="n">
        <x:v>20000</x:v>
      </x:c>
      <x:c r="H40" s="40" t="n">
        <x:f>E40*G40</x:f>
        <x:v>20000</x:v>
      </x:c>
      <x:c r="I40" s="37" t="str">
        <x:v>3. Bàn xoay</x:v>
      </x:c>
      <x:c r="J40" s="2"/>
      <x:c r="K40" s="27" t="str">
        <x:v>Dự toán kỹ thuật; chưa có báo giá cho đúng cấu hình.</x:v>
      </x:c>
    </x:row>
    <x:row r="41" ht="46" customHeight="1">
      <x:c r="A41" s="2"/>
      <x:c r="B41" s="24" t="str">
        <x:v>C09</x:v>
      </x:c>
      <x:c r="C41" s="25" t="str">
        <x:v>Vòng bi chặn dọc trục</x:v>
      </x:c>
      <x:c r="D41" s="25" t="str">
        <x:v>F8-16M hoặc tương đương lỗ 8 mm; cần mặt tựa cứng, giữ đúng thứ tự vòng đệm.</x:v>
      </x:c>
      <x:c r="E41" s="33" t="n">
        <x:v>1</x:v>
      </x:c>
      <x:c r="F41" s="34" t="str">
        <x:v>cái</x:v>
      </x:c>
      <x:c r="G41" s="18" t="n">
        <x:v>30000</x:v>
      </x:c>
      <x:c r="H41" s="35" t="n">
        <x:f>E41*G41</x:f>
        <x:v>30000</x:v>
      </x:c>
      <x:c r="I41" s="25" t="str">
        <x:v>3. Bàn xoay</x:v>
      </x:c>
      <x:c r="J41" s="2"/>
      <x:c r="K41" s="27" t="str">
        <x:v>Dự toán kỹ thuật; chưa có báo giá cho đúng cấu hình.</x:v>
      </x:c>
    </x:row>
    <x:row r="42" ht="46" customHeight="1">
      <x:c r="A42" s="2"/>
      <x:c r="B42" s="36" t="str">
        <x:v>C10</x:v>
      </x:c>
      <x:c r="C42" s="37" t="str">
        <x:v>Mâm xoay đen nhám</x:v>
      </x:c>
      <x:c r="D42" s="37" t="str">
        <x:v>Đường kính khoảng 160 mm, gỗ/mica dày khoảng 6–8 mm; dán phủ mặt đen nhám.</x:v>
      </x:c>
      <x:c r="E42" s="33" t="n">
        <x:v>1</x:v>
      </x:c>
      <x:c r="F42" s="39" t="str">
        <x:v>cái</x:v>
      </x:c>
      <x:c r="G42" s="18" t="n">
        <x:v>45000</x:v>
      </x:c>
      <x:c r="H42" s="40" t="n">
        <x:f>E42*G42</x:f>
        <x:v>45000</x:v>
      </x:c>
      <x:c r="I42" s="37" t="str">
        <x:v>3. Bàn xoay</x:v>
      </x:c>
      <x:c r="J42" s="2"/>
      <x:c r="K42" s="27" t="str">
        <x:v>Dự toán kỹ thuật; chưa có báo giá cho đúng cấu hình.</x:v>
      </x:c>
    </x:row>
    <x:row r="43" ht="46" customHeight="1">
      <x:c r="A43" s="2"/>
      <x:c r="B43" s="24" t="str">
        <x:v>C11</x:v>
      </x:c>
      <x:c r="C43" s="25" t="str">
        <x:v>Gá động cơ NEMA17</x:v>
      </x:c>
      <x:c r="D43" s="25" t="str">
        <x:v>Gá chữ L có rãnh chỉnh căng đai; kích thước khớp động cơ.</x:v>
      </x:c>
      <x:c r="E43" s="33" t="n">
        <x:v>1</x:v>
      </x:c>
      <x:c r="F43" s="34" t="str">
        <x:v>cái</x:v>
      </x:c>
      <x:c r="G43" s="18" t="n">
        <x:v>30000</x:v>
      </x:c>
      <x:c r="H43" s="35" t="n">
        <x:f>E43*G43</x:f>
        <x:v>30000</x:v>
      </x:c>
      <x:c r="I43" s="25" t="str">
        <x:v>3. Bàn xoay</x:v>
      </x:c>
      <x:c r="J43" s="2"/>
      <x:c r="K43" s="27" t="str">
        <x:v>Dự toán kỹ thuật; chưa có báo giá cho đúng cấu hình.</x:v>
      </x:c>
    </x:row>
    <x:row r="44" ht="46" customHeight="1">
      <x:c r="A44" s="2"/>
      <x:c r="B44" s="36" t="str">
        <x:v>C12</x:v>
      </x:c>
      <x:c r="C44" s="37" t="str">
        <x:v>Gá camera, laser và gối bi</x:v>
      </x:c>
      <x:c r="D44" s="37" t="str">
        <x:v>Tự gia công/in 3D; chỉnh được camera và laser rồi khóa cứng; chưa tính CAD thuê ngoài.</x:v>
      </x:c>
      <x:c r="E44" s="33" t="n">
        <x:v>1</x:v>
      </x:c>
      <x:c r="F44" s="39" t="str">
        <x:v>bộ</x:v>
      </x:c>
      <x:c r="G44" s="18" t="n">
        <x:v>100000</x:v>
      </x:c>
      <x:c r="H44" s="40" t="n">
        <x:f>E44*G44</x:f>
        <x:v>100000</x:v>
      </x:c>
      <x:c r="I44" s="37" t="str">
        <x:v>3. Bàn xoay</x:v>
      </x:c>
      <x:c r="J44" s="2"/>
      <x:c r="K44" s="27" t="str">
        <x:v>Dự toán kỹ thuật; chưa có báo giá cho đúng cấu hình.</x:v>
      </x:c>
    </x:row>
    <x:row r="45" ht="46" customHeight="1">
      <x:c r="A45" s="2"/>
      <x:c r="B45" s="24" t="str">
        <x:v>C13</x:v>
      </x:c>
      <x:c r="C45" s="25" t="str">
        <x:v>Đế máy cứng</x:v>
      </x:c>
      <x:c r="D45" s="25" t="str">
        <x:v>Gỗ/MDF khoảng 400×400 mm, dày 12–15 mm; đặt camera, laser và bàn xoay chung đế.</x:v>
      </x:c>
      <x:c r="E45" s="33" t="n">
        <x:v>1</x:v>
      </x:c>
      <x:c r="F45" s="34" t="str">
        <x:v>tấm</x:v>
      </x:c>
      <x:c r="G45" s="18" t="n">
        <x:v>80000</x:v>
      </x:c>
      <x:c r="H45" s="35" t="n">
        <x:f>E45*G45</x:f>
        <x:v>80000</x:v>
      </x:c>
      <x:c r="I45" s="25" t="str">
        <x:v>3. Bàn xoay</x:v>
      </x:c>
      <x:c r="J45" s="2"/>
      <x:c r="K45" s="27" t="str">
        <x:v>Dự toán kỹ thuật; chưa có báo giá cho đúng cấu hình.</x:v>
      </x:c>
    </x:row>
    <x:row r="46" ht="46" customHeight="1">
      <x:c r="A46" s="2"/>
      <x:c r="B46" s="36" t="str">
        <x:v>C14</x:v>
      </x:c>
      <x:c r="C46" s="37" t="str">
        <x:v>Vỏ buồng kín và mặt chắn tia</x:v>
      </x:c>
      <x:c r="D46" s="37" t="str">
        <x:v>Gỗ/foam PVC không xuyên sáng, trong đen nhám; chiều cao khoảng 350–400 mm, có cửa.</x:v>
      </x:c>
      <x:c r="E46" s="33" t="n">
        <x:v>1</x:v>
      </x:c>
      <x:c r="F46" s="39" t="str">
        <x:v>bộ</x:v>
      </x:c>
      <x:c r="G46" s="18" t="n">
        <x:v>150000</x:v>
      </x:c>
      <x:c r="H46" s="40" t="n">
        <x:f>E46*G46</x:f>
        <x:v>150000</x:v>
      </x:c>
      <x:c r="I46" s="37" t="str">
        <x:v>2. Thử vạch</x:v>
      </x:c>
      <x:c r="J46" s="2"/>
      <x:c r="K46" s="27" t="str">
        <x:v>Dự toán kỹ thuật; chưa có báo giá cho đúng cấu hình.</x:v>
      </x:c>
    </x:row>
    <x:row r="47" ht="46" customHeight="1">
      <x:c r="A47" s="2"/>
      <x:c r="B47" s="24" t="str">
        <x:v>C15</x:v>
      </x:c>
      <x:c r="C47" s="25" t="str">
        <x:v>Bu lông và phụ kiện lắp</x:v>
      </x:c>
      <x:c r="D47" s="25" t="str">
        <x:v>M3/M4, đai ốc, long đen, trụ đỡ, bản lề, chốt cửa và chân cao su.</x:v>
      </x:c>
      <x:c r="E47" s="33" t="n">
        <x:v>1</x:v>
      </x:c>
      <x:c r="F47" s="34" t="str">
        <x:v>gói</x:v>
      </x:c>
      <x:c r="G47" s="18" t="n">
        <x:v>60000</x:v>
      </x:c>
      <x:c r="H47" s="35" t="n">
        <x:f>E47*G47</x:f>
        <x:v>60000</x:v>
      </x:c>
      <x:c r="I47" s="25" t="str">
        <x:v>3. Bàn xoay</x:v>
      </x:c>
      <x:c r="J47" s="2"/>
      <x:c r="K47" s="27" t="str">
        <x:v>Dự toán kỹ thuật; chưa có báo giá cho đúng cấu hình.</x:v>
      </x:c>
    </x:row>
    <x:row r="48" ht="46" customHeight="1">
      <x:c r="A48" s="2"/>
      <x:c r="B48" s="36" t="str">
        <x:v>D01</x:v>
      </x:c>
      <x:c r="C48" s="37" t="str">
        <x:v>PCB lỗ thử nghiệm</x:v>
      </x:c>
      <x:c r="D48" s="37" t="str">
        <x:v>Hàn thử nguồn, MOSFET và đầu nối trước khi đặt PCB chính.</x:v>
      </x:c>
      <x:c r="E48" s="33" t="n">
        <x:v>1</x:v>
      </x:c>
      <x:c r="F48" s="39" t="str">
        <x:v>tấm</x:v>
      </x:c>
      <x:c r="G48" s="18" t="n">
        <x:v>20000</x:v>
      </x:c>
      <x:c r="H48" s="40" t="n">
        <x:f>E48*G48</x:f>
        <x:v>20000</x:v>
      </x:c>
      <x:c r="I48" s="37" t="str">
        <x:v>2. Thử vạch</x:v>
      </x:c>
      <x:c r="J48" s="2"/>
      <x:c r="K48" s="27" t="str">
        <x:v>Dự toán kỹ thuật; chưa có báo giá cho đúng cấu hình.</x:v>
      </x:c>
    </x:row>
    <x:row r="49" ht="46" customHeight="1">
      <x:c r="A49" s="2"/>
      <x:c r="B49" s="24" t="str">
        <x:v>D02</x:v>
      </x:c>
      <x:c r="C49" s="25" t="str">
        <x:v>PCB điều khiển tự thiết kế</x:v>
      </x:c>
      <x:c r="D49" s="25" t="str">
        <x:v>Dự toán một đợt PCB 2 lớp cỡ ≤100×100 mm; chưa gồm sửa bản thứ hai/gia công thuê.</x:v>
      </x:c>
      <x:c r="E49" s="33" t="n">
        <x:v>1</x:v>
      </x:c>
      <x:c r="F49" s="34" t="str">
        <x:v>đợt</x:v>
      </x:c>
      <x:c r="G49" s="18" t="n">
        <x:v>200000</x:v>
      </x:c>
      <x:c r="H49" s="35" t="n">
        <x:f>E49*G49</x:f>
        <x:v>200000</x:v>
      </x:c>
      <x:c r="I49" s="25" t="str">
        <x:v>4. Hoàn thiện</x:v>
      </x:c>
      <x:c r="J49" s="2"/>
      <x:c r="K49" s="27" t="str">
        <x:v>Dự toán kỹ thuật; chưa có báo giá cho đúng cấu hình.</x:v>
      </x:c>
    </x:row>
    <x:row r="50" ht="46" customHeight="1">
      <x:c r="A50" s="2"/>
      <x:c r="B50" s="36" t="str">
        <x:v>D03</x:v>
      </x:c>
      <x:c r="C50" s="37" t="str">
        <x:v>Socket và đầu nối PCB</x:v>
      </x:c>
      <x:c r="D50" s="37" t="str">
        <x:v>Socket khớp bo ESP32-CAM hoặc S3-CAM và A4988; đầu nối motor 4P, laser/HOME/cửa 2P, terminal nguồn.</x:v>
      </x:c>
      <x:c r="E50" s="33" t="n">
        <x:v>1</x:v>
      </x:c>
      <x:c r="F50" s="39" t="str">
        <x:v>gói</x:v>
      </x:c>
      <x:c r="G50" s="18" t="n">
        <x:v>40000</x:v>
      </x:c>
      <x:c r="H50" s="40" t="n">
        <x:f>E50*G50</x:f>
        <x:v>40000</x:v>
      </x:c>
      <x:c r="I50" s="37" t="str">
        <x:v>4. Hoàn thiện</x:v>
      </x:c>
      <x:c r="J50" s="2"/>
      <x:c r="K50" s="27" t="str">
        <x:v>Dự toán kỹ thuật; chưa có báo giá cho đúng cấu hình.</x:v>
      </x:c>
    </x:row>
    <x:row r="51" ht="46" customHeight="1">
      <x:c r="A51" s="2"/>
      <x:c r="B51" s="24" t="str">
        <x:v>D04</x:v>
      </x:c>
      <x:c r="C51" s="25" t="str">
        <x:v>Bảng hiệu chuẩn bàn cờ</x:v>
      </x:c>
      <x:c r="D51" s="25" t="str">
        <x:v>In giấy mờ, dán lên tấm phẳng cứng; đo lại kích thước ô thực sau in.</x:v>
      </x:c>
      <x:c r="E51" s="33" t="n">
        <x:v>1</x:v>
      </x:c>
      <x:c r="F51" s="34" t="str">
        <x:v>bộ</x:v>
      </x:c>
      <x:c r="G51" s="18" t="n">
        <x:v>40000</x:v>
      </x:c>
      <x:c r="H51" s="35" t="n">
        <x:f>E51*G51</x:f>
        <x:v>40000</x:v>
      </x:c>
      <x:c r="I51" s="25" t="str">
        <x:v>1. Thử ảnh</x:v>
      </x:c>
      <x:c r="J51" s="2"/>
      <x:c r="K51" s="27" t="str">
        <x:v>Dự toán kỹ thuật; chưa có báo giá cho đúng cấu hình.</x:v>
      </x:c>
    </x:row>
    <x:row r="52" ht="46" customHeight="1">
      <x:c r="A52" s="2"/>
      <x:c r="B52" s="36" t="str">
        <x:v>D05</x:v>
      </x:c>
      <x:c r="C52" s="37" t="str">
        <x:v>Thước cặp 150 mm</x:v>
      </x:c>
      <x:c r="D52" s="37" t="str">
        <x:v>Dùng đối chứng kích thước; độ chia màn hình không phải độ chính xác. Có thể mượn.</x:v>
      </x:c>
      <x:c r="E52" s="33" t="n">
        <x:v>1</x:v>
      </x:c>
      <x:c r="F52" s="39" t="str">
        <x:v>cái</x:v>
      </x:c>
      <x:c r="G52" s="18" t="n">
        <x:v>180000</x:v>
      </x:c>
      <x:c r="H52" s="40" t="n">
        <x:f>E52*G52</x:f>
        <x:v>180000</x:v>
      </x:c>
      <x:c r="I52" s="37" t="str">
        <x:v>4. Hoàn thiện</x:v>
      </x:c>
      <x:c r="J52" s="2"/>
      <x:c r="K52" s="27" t="str">
        <x:v>Dự toán kỹ thuật; chưa có báo giá cho đúng cấu hình.</x:v>
      </x:c>
    </x:row>
    <x:row r="53" ht="46" customHeight="1">
      <x:c r="A53" s="2"/>
      <x:c r="B53" s="24" t="str">
        <x:v>D06</x:v>
      </x:c>
      <x:c r="C53" s="25" t="str">
        <x:v>Vật kiểm tra và vật tư cố định</x:v>
      </x:c>
      <x:c r="D53" s="25" t="str">
        <x:v>Trụ/khối nhám đo kích thước trước quét, keo dính tháo được; tránh vật bóng/trong.</x:v>
      </x:c>
      <x:c r="E53" s="33" t="n">
        <x:v>1</x:v>
      </x:c>
      <x:c r="F53" s="34" t="str">
        <x:v>bộ</x:v>
      </x:c>
      <x:c r="G53" s="18" t="n">
        <x:v>50000</x:v>
      </x:c>
      <x:c r="H53" s="35" t="n">
        <x:f>E53*G53</x:f>
        <x:v>50000</x:v>
      </x:c>
      <x:c r="I53" s="25" t="str">
        <x:v>4. Hoàn thiện</x:v>
      </x:c>
      <x:c r="J53" s="2"/>
      <x:c r="K53" s="27" t="str">
        <x:v>Dự toán kỹ thuật; chưa có báo giá cho đúng cấu hình.</x:v>
      </x:c>
    </x:row>
    <x:row r="54" ht="24" customHeight="1">
      <x:c r="A54" s="2"/>
      <x:c r="B54" s="2"/>
      <x:c r="C54" s="2"/>
      <x:c r="D54" s="2"/>
      <x:c r="E54" s="2"/>
      <x:c r="F54" s="2"/>
      <x:c r="G54" s="2"/>
      <x:c r="H54" s="2"/>
      <x:c r="I54" s="2"/>
      <x:c r="J54" s="2"/>
      <x:c r="K54" s="2"/>
    </x:row>
    <x:row r="55" ht="24" customHeight="1">
      <x:c r="A55" s="2"/>
      <x:c r="B55" s="2"/>
      <x:c r="C55" s="2"/>
      <x:c r="D55" s="2"/>
      <x:c r="E55" s="2"/>
      <x:c r="F55" s="2"/>
      <x:c r="G55" s="2"/>
      <x:c r="H55" s="2"/>
      <x:c r="I55" s="2"/>
      <x:c r="J55" s="2"/>
      <x:c r="K55" s="2"/>
    </x:row>
    <x:row r="56" ht="24" customHeight="1">
      <x:c r="A56" s="2"/>
      <x:c r="B56" s="23" t="str">
        <x:v>Linh kiện và dịch vụ tùy chọn, chưa cộng vào ngân sách phía trên</x:v>
      </x:c>
      <x:c r="C56" s="2"/>
      <x:c r="D56" s="2"/>
      <x:c r="E56" s="2"/>
      <x:c r="F56" s="2"/>
      <x:c r="G56" s="2"/>
      <x:c r="H56" s="2"/>
      <x:c r="I56" s="2"/>
      <x:c r="J56" s="2"/>
      <x:c r="K56" s="2"/>
    </x:row>
    <x:row r="57" ht="24" customHeight="1">
      <x:c r="A57" s="2"/>
      <x:c r="B57" s="2"/>
      <x:c r="C57" s="2"/>
      <x:c r="D57" s="2"/>
      <x:c r="E57" s="2"/>
      <x:c r="F57" s="2"/>
      <x:c r="G57" s="2"/>
      <x:c r="H57" s="2"/>
      <x:c r="I57" s="2"/>
      <x:c r="J57" s="2"/>
      <x:c r="K57" s="2"/>
    </x:row>
    <x:row r="58" ht="30" customHeight="1">
      <x:c r="A58" s="2"/>
      <x:c r="B58" s="22" t="str">
        <x:v>Mã</x:v>
      </x:c>
      <x:c r="C58" s="22" t="str">
        <x:v>Hạng mục</x:v>
      </x:c>
      <x:c r="D58" s="22" t="str">
        <x:v>Thông số cần mua</x:v>
      </x:c>
      <x:c r="E58" s="22" t="str">
        <x:v>SL</x:v>
      </x:c>
      <x:c r="F58" s="22" t="str">
        <x:v>Đơn vị</x:v>
      </x:c>
      <x:c r="G58" s="22" t="str">
        <x:v>Đơn giá (đ)</x:v>
      </x:c>
      <x:c r="H58" s="22" t="str">
        <x:v>Thành tiền (đ)</x:v>
      </x:c>
      <x:c r="I58" s="22" t="str">
        <x:v>Giai đoạn mua</x:v>
      </x:c>
      <x:c r="J58" s="2"/>
      <x:c r="K58" s="23" t="str">
        <x:v>Nguồn giá hoặc cơ sở dự toán; tra cứu ngày 13/09/2026</x:v>
      </x:c>
    </x:row>
    <x:row r="59" ht="46" customHeight="1">
      <x:c r="A59" s="2"/>
      <x:c r="B59" s="24" t="str">
        <x:v>O01</x:v>
      </x:c>
      <x:c r="C59" s="25" t="str">
        <x:v>Module OV2640 thay thế</x:v>
      </x:c>
      <x:c r="D59" s="25" t="str">
        <x:v>Cụm camera có lens lấy nét gần; xác nhận đúng FPC, pinout và bo ESP32-CAM.</x:v>
      </x:c>
      <x:c r="E59" s="33" t="n">
        <x:v>1</x:v>
      </x:c>
      <x:c r="F59" s="34" t="str">
        <x:v>cái</x:v>
      </x:c>
      <x:c r="G59" s="18" t="n">
        <x:v>100000</x:v>
      </x:c>
      <x:c r="H59" s="35" t="n">
        <x:f>E59*G59</x:f>
        <x:v>100000</x:v>
      </x:c>
      <x:c r="I59" s="25" t="str">
        <x:v>Khi ảnh không nét</x:v>
      </x:c>
      <x:c r="J59" s="2"/>
      <x:c r="K59" s="27" t="str">
        <x:v>Dự toán kỹ thuật; chưa có báo giá cho đúng cấu hình.</x:v>
      </x:c>
    </x:row>
    <x:row r="60" ht="46" customHeight="1">
      <x:c r="A60" s="2"/>
      <x:c r="B60" s="36" t="str">
        <x:v>O02</x:v>
      </x:c>
      <x:c r="C60" s="37" t="str">
        <x:v>Driver TMC2209</x:v>
      </x:c>
      <x:c r="D60" s="37" t="str">
        <x:v>Dùng thay A4988; kiểm tra pinout, dòng và chế độ standalone. Bỏ tiền A05 khi tính thay thế.</x:v>
      </x:c>
      <x:c r="E60" s="33" t="n">
        <x:v>1</x:v>
      </x:c>
      <x:c r="F60" s="39" t="str">
        <x:v>cái</x:v>
      </x:c>
      <x:c r="G60" s="18" t="n">
        <x:v>100000</x:v>
      </x:c>
      <x:c r="H60" s="40" t="n">
        <x:f>E60*G60</x:f>
        <x:v>100000</x:v>
      </x:c>
      <x:c r="I60" s="37" t="str">
        <x:v>Khi cần giảm rung</x:v>
      </x:c>
      <x:c r="J60" s="2"/>
      <x:c r="K60" s="27" t="str">
        <x:v>Dự toán kỹ thuật; chưa có báo giá cho đúng cấu hình.</x:v>
      </x:c>
    </x:row>
    <x:row r="61" ht="46" customHeight="1">
      <x:c r="A61" s="2"/>
      <x:c r="B61" s="24" t="str">
        <x:v>O03</x:v>
      </x:c>
      <x:c r="C61" s="25" t="str">
        <x:v>Laser thứ hai + gá + MOSFET</x:v>
      </x:c>
      <x:c r="D61" s="25" t="str">
        <x:v>Tăng vùng nhìn thấy; phải thêm GPIO và hiệu chuẩn mặt phẳng laser thứ hai.</x:v>
      </x:c>
      <x:c r="E61" s="33" t="n">
        <x:v>1</x:v>
      </x:c>
      <x:c r="F61" s="34" t="str">
        <x:v>bộ</x:v>
      </x:c>
      <x:c r="G61" s="18" t="n">
        <x:v>100000</x:v>
      </x:c>
      <x:c r="H61" s="35" t="n">
        <x:f>E61*G61</x:f>
        <x:v>100000</x:v>
      </x:c>
      <x:c r="I61" s="25" t="str">
        <x:v>Sau bản một laser</x:v>
      </x:c>
      <x:c r="J61" s="2"/>
      <x:c r="K61" s="27" t="str">
        <x:v>Dự toán kỹ thuật; chưa có báo giá cho đúng cấu hình.</x:v>
      </x:c>
    </x:row>
    <x:row r="62" ht="46" customHeight="1">
      <x:c r="A62" s="2"/>
      <x:c r="B62" s="36" t="str">
        <x:v>O04</x:v>
      </x:c>
      <x:c r="C62" s="37" t="str">
        <x:v>STM32F411 + ST-Link</x:v>
      </x:c>
      <x:c r="D62" s="37" t="str">
        <x:v>Tách điều khiển chuyển động; còn cần cáp/đầu nối phù hợp. Không cần cho cấu hình cơ bản.</x:v>
      </x:c>
      <x:c r="E62" s="33" t="n">
        <x:v>1</x:v>
      </x:c>
      <x:c r="F62" s="39" t="str">
        <x:v>bộ</x:v>
      </x:c>
      <x:c r="G62" s="18" t="n">
        <x:v>180000</x:v>
      </x:c>
      <x:c r="H62" s="40" t="n">
        <x:f>E62*G62</x:f>
        <x:v>180000</x:v>
      </x:c>
      <x:c r="I62" s="37" t="str">
        <x:v>Khi mở rộng IO</x:v>
      </x:c>
      <x:c r="J62" s="2"/>
      <x:c r="K62" s="27" t="str">
        <x:v>Dự toán kỹ thuật; chưa có báo giá cho đúng cấu hình.</x:v>
      </x:c>
    </x:row>
    <x:row r="63" ht="46" customHeight="1">
      <x:c r="A63" s="2"/>
      <x:c r="B63" s="24" t="str">
        <x:v>O05</x:v>
      </x:c>
      <x:c r="C63" s="25" t="str">
        <x:v>In thử một mô hình 3D</x:v>
      </x:c>
      <x:c r="D63" s="25" t="str">
        <x:v>Thuê in vật nhỏ từ STL đã kiểm tra; giá phụ thuộc kích thước và vật liệu.</x:v>
      </x:c>
      <x:c r="E63" s="33" t="n">
        <x:v>1</x:v>
      </x:c>
      <x:c r="F63" s="34" t="str">
        <x:v>lần</x:v>
      </x:c>
      <x:c r="G63" s="18" t="n">
        <x:v>150000</x:v>
      </x:c>
      <x:c r="H63" s="35" t="n">
        <x:f>E63*G63</x:f>
        <x:v>150000</x:v>
      </x:c>
      <x:c r="I63" s="25" t="str">
        <x:v>Trình diễn</x:v>
      </x:c>
      <x:c r="J63" s="2"/>
      <x:c r="K63" s="27" t="str">
        <x:v>Dự toán kỹ thuật; chưa có báo giá cho đúng cấu hình.</x:v>
      </x:c>
    </x:row>
    <x:row r="64" ht="24" customHeight="1">
      <x:c r="A64" s="2"/>
      <x:c r="B64" s="2"/>
      <x:c r="C64" s="2"/>
      <x:c r="D64" s="2"/>
      <x:c r="E64" s="2"/>
      <x:c r="F64" s="2"/>
      <x:c r="G64" s="2"/>
      <x:c r="H64" s="2"/>
      <x:c r="I64" s="2"/>
      <x:c r="J64" s="2"/>
      <x:c r="K64" s="2"/>
    </x:row>
    <x:row r="65" ht="24" customHeight="1">
      <x:c r="A65" s="2"/>
      <x:c r="B65" s="2"/>
      <x:c r="C65" s="2"/>
      <x:c r="D65" s="2"/>
      <x:c r="E65" s="2"/>
      <x:c r="F65" s="2"/>
      <x:c r="G65" s="2"/>
      <x:c r="H65" s="2"/>
      <x:c r="I65" s="2"/>
      <x:c r="J65" s="2"/>
      <x:c r="K65" s="2"/>
    </x:row>
  </x:sheetData>
  <x:dataValidations count="81">
    <x:dataValidation type="whole" operator="between" sqref="E19">
      <x:formula1>0</x:formula1>
      <x:formula2>100</x:formula2>
    </x:dataValidation>
    <x:dataValidation type="decimal" operator="greaterThanOrEqual" sqref="G19">
      <x:formula1>0</x:formula1>
    </x:dataValidation>
    <x:dataValidation type="whole" operator="between" sqref="E20">
      <x:formula1>0</x:formula1>
      <x:formula2>100</x:formula2>
    </x:dataValidation>
    <x:dataValidation type="decimal" operator="greaterThanOrEqual" sqref="G20">
      <x:formula1>0</x:formula1>
    </x:dataValidation>
    <x:dataValidation type="whole" operator="between" sqref="E21">
      <x:formula1>0</x:formula1>
      <x:formula2>100</x:formula2>
    </x:dataValidation>
    <x:dataValidation type="decimal" operator="greaterThanOrEqual" sqref="G21">
      <x:formula1>0</x:formula1>
    </x:dataValidation>
    <x:dataValidation type="whole" operator="between" sqref="E22">
      <x:formula1>0</x:formula1>
      <x:formula2>100</x:formula2>
    </x:dataValidation>
    <x:dataValidation type="decimal" operator="greaterThanOrEqual" sqref="G22">
      <x:formula1>0</x:formula1>
    </x:dataValidation>
    <x:dataValidation type="whole" operator="between" sqref="E23">
      <x:formula1>0</x:formula1>
      <x:formula2>100</x:formula2>
    </x:dataValidation>
    <x:dataValidation type="decimal" operator="greaterThanOrEqual" sqref="G23">
      <x:formula1>0</x:formula1>
    </x:dataValidation>
    <x:dataValidation type="whole" operator="between" sqref="E24">
      <x:formula1>0</x:formula1>
      <x:formula2>100</x:formula2>
    </x:dataValidation>
    <x:dataValidation type="decimal" operator="greaterThanOrEqual" sqref="G24">
      <x:formula1>0</x:formula1>
    </x:dataValidation>
    <x:dataValidation type="whole" operator="between" sqref="E25">
      <x:formula1>0</x:formula1>
      <x:formula2>100</x:formula2>
    </x:dataValidation>
    <x:dataValidation type="decimal" operator="greaterThanOrEqual" sqref="G25">
      <x:formula1>0</x:formula1>
    </x:dataValidation>
    <x:dataValidation type="whole" operator="between" sqref="E26">
      <x:formula1>0</x:formula1>
      <x:formula2>100</x:formula2>
    </x:dataValidation>
    <x:dataValidation type="decimal" operator="greaterThanOrEqual" sqref="G26">
      <x:formula1>0</x:formula1>
    </x:dataValidation>
    <x:dataValidation type="whole" operator="between" sqref="E27">
      <x:formula1>0</x:formula1>
      <x:formula2>100</x:formula2>
    </x:dataValidation>
    <x:dataValidation type="decimal" operator="greaterThanOrEqual" sqref="G27">
      <x:formula1>0</x:formula1>
    </x:dataValidation>
    <x:dataValidation type="whole" operator="between" sqref="E28">
      <x:formula1>0</x:formula1>
      <x:formula2>100</x:formula2>
    </x:dataValidation>
    <x:dataValidation type="decimal" operator="greaterThanOrEqual" sqref="G28">
      <x:formula1>0</x:formula1>
    </x:dataValidation>
    <x:dataValidation type="whole" operator="between" sqref="E29">
      <x:formula1>0</x:formula1>
      <x:formula2>100</x:formula2>
    </x:dataValidation>
    <x:dataValidation type="decimal" operator="greaterThanOrEqual" sqref="G29">
      <x:formula1>0</x:formula1>
    </x:dataValidation>
    <x:dataValidation type="whole" operator="between" sqref="E30">
      <x:formula1>0</x:formula1>
      <x:formula2>100</x:formula2>
    </x:dataValidation>
    <x:dataValidation type="decimal" operator="greaterThanOrEqual" sqref="G30">
      <x:formula1>0</x:formula1>
    </x:dataValidation>
    <x:dataValidation type="whole" operator="between" sqref="E31">
      <x:formula1>0</x:formula1>
      <x:formula2>100</x:formula2>
    </x:dataValidation>
    <x:dataValidation type="decimal" operator="greaterThanOrEqual" sqref="G31">
      <x:formula1>0</x:formula1>
    </x:dataValidation>
    <x:dataValidation type="whole" operator="between" sqref="E32">
      <x:formula1>0</x:formula1>
      <x:formula2>100</x:formula2>
    </x:dataValidation>
    <x:dataValidation type="decimal" operator="greaterThanOrEqual" sqref="G32">
      <x:formula1>0</x:formula1>
    </x:dataValidation>
    <x:dataValidation type="whole" operator="between" sqref="E33">
      <x:formula1>0</x:formula1>
      <x:formula2>100</x:formula2>
    </x:dataValidation>
    <x:dataValidation type="decimal" operator="greaterThanOrEqual" sqref="G33">
      <x:formula1>0</x:formula1>
    </x:dataValidation>
    <x:dataValidation type="whole" operator="between" sqref="E34">
      <x:formula1>0</x:formula1>
      <x:formula2>100</x:formula2>
    </x:dataValidation>
    <x:dataValidation type="decimal" operator="greaterThanOrEqual" sqref="G34">
      <x:formula1>0</x:formula1>
    </x:dataValidation>
    <x:dataValidation type="whole" operator="between" sqref="E35">
      <x:formula1>0</x:formula1>
      <x:formula2>100</x:formula2>
    </x:dataValidation>
    <x:dataValidation type="decimal" operator="greaterThanOrEqual" sqref="G35">
      <x:formula1>0</x:formula1>
    </x:dataValidation>
    <x:dataValidation type="whole" operator="between" sqref="E36">
      <x:formula1>0</x:formula1>
      <x:formula2>100</x:formula2>
    </x:dataValidation>
    <x:dataValidation type="decimal" operator="greaterThanOrEqual" sqref="G36">
      <x:formula1>0</x:formula1>
    </x:dataValidation>
    <x:dataValidation type="whole" operator="between" sqref="E37">
      <x:formula1>0</x:formula1>
      <x:formula2>100</x:formula2>
    </x:dataValidation>
    <x:dataValidation type="decimal" operator="greaterThanOrEqual" sqref="G37">
      <x:formula1>0</x:formula1>
    </x:dataValidation>
    <x:dataValidation type="whole" operator="between" sqref="E38">
      <x:formula1>0</x:formula1>
      <x:formula2>100</x:formula2>
    </x:dataValidation>
    <x:dataValidation type="decimal" operator="greaterThanOrEqual" sqref="G38">
      <x:formula1>0</x:formula1>
    </x:dataValidation>
    <x:dataValidation type="whole" operator="between" sqref="E39">
      <x:formula1>0</x:formula1>
      <x:formula2>100</x:formula2>
    </x:dataValidation>
    <x:dataValidation type="decimal" operator="greaterThanOrEqual" sqref="G39">
      <x:formula1>0</x:formula1>
    </x:dataValidation>
    <x:dataValidation type="whole" operator="between" sqref="E40">
      <x:formula1>0</x:formula1>
      <x:formula2>100</x:formula2>
    </x:dataValidation>
    <x:dataValidation type="decimal" operator="greaterThanOrEqual" sqref="G40">
      <x:formula1>0</x:formula1>
    </x:dataValidation>
    <x:dataValidation type="whole" operator="between" sqref="E41">
      <x:formula1>0</x:formula1>
      <x:formula2>100</x:formula2>
    </x:dataValidation>
    <x:dataValidation type="decimal" operator="greaterThanOrEqual" sqref="G41">
      <x:formula1>0</x:formula1>
    </x:dataValidation>
    <x:dataValidation type="whole" operator="between" sqref="E42">
      <x:formula1>0</x:formula1>
      <x:formula2>100</x:formula2>
    </x:dataValidation>
    <x:dataValidation type="decimal" operator="greaterThanOrEqual" sqref="G42">
      <x:formula1>0</x:formula1>
    </x:dataValidation>
    <x:dataValidation type="whole" operator="between" sqref="E43">
      <x:formula1>0</x:formula1>
      <x:formula2>100</x:formula2>
    </x:dataValidation>
    <x:dataValidation type="decimal" operator="greaterThanOrEqual" sqref="G43">
      <x:formula1>0</x:formula1>
    </x:dataValidation>
    <x:dataValidation type="whole" operator="between" sqref="E44">
      <x:formula1>0</x:formula1>
      <x:formula2>100</x:formula2>
    </x:dataValidation>
    <x:dataValidation type="decimal" operator="greaterThanOrEqual" sqref="G44">
      <x:formula1>0</x:formula1>
    </x:dataValidation>
    <x:dataValidation type="whole" operator="between" sqref="E45">
      <x:formula1>0</x:formula1>
      <x:formula2>100</x:formula2>
    </x:dataValidation>
    <x:dataValidation type="decimal" operator="greaterThanOrEqual" sqref="G45">
      <x:formula1>0</x:formula1>
    </x:dataValidation>
    <x:dataValidation type="whole" operator="between" sqref="E46">
      <x:formula1>0</x:formula1>
      <x:formula2>100</x:formula2>
    </x:dataValidation>
    <x:dataValidation type="decimal" operator="greaterThanOrEqual" sqref="G46">
      <x:formula1>0</x:formula1>
    </x:dataValidation>
    <x:dataValidation type="whole" operator="between" sqref="E47">
      <x:formula1>0</x:formula1>
      <x:formula2>100</x:formula2>
    </x:dataValidation>
    <x:dataValidation type="decimal" operator="greaterThanOrEqual" sqref="G47">
      <x:formula1>0</x:formula1>
    </x:dataValidation>
    <x:dataValidation type="whole" operator="between" sqref="E48">
      <x:formula1>0</x:formula1>
      <x:formula2>100</x:formula2>
    </x:dataValidation>
    <x:dataValidation type="decimal" operator="greaterThanOrEqual" sqref="G48">
      <x:formula1>0</x:formula1>
    </x:dataValidation>
    <x:dataValidation type="whole" operator="between" sqref="E49">
      <x:formula1>0</x:formula1>
      <x:formula2>100</x:formula2>
    </x:dataValidation>
    <x:dataValidation type="decimal" operator="greaterThanOrEqual" sqref="G49">
      <x:formula1>0</x:formula1>
    </x:dataValidation>
    <x:dataValidation type="whole" operator="between" sqref="E50">
      <x:formula1>0</x:formula1>
      <x:formula2>100</x:formula2>
    </x:dataValidation>
    <x:dataValidation type="decimal" operator="greaterThanOrEqual" sqref="G50">
      <x:formula1>0</x:formula1>
    </x:dataValidation>
    <x:dataValidation type="whole" operator="between" sqref="E51">
      <x:formula1>0</x:formula1>
      <x:formula2>100</x:formula2>
    </x:dataValidation>
    <x:dataValidation type="decimal" operator="greaterThanOrEqual" sqref="G51">
      <x:formula1>0</x:formula1>
    </x:dataValidation>
    <x:dataValidation type="whole" operator="between" sqref="E52">
      <x:formula1>0</x:formula1>
      <x:formula2>100</x:formula2>
    </x:dataValidation>
    <x:dataValidation type="decimal" operator="greaterThanOrEqual" sqref="G52">
      <x:formula1>0</x:formula1>
    </x:dataValidation>
    <x:dataValidation type="whole" operator="between" sqref="E53">
      <x:formula1>0</x:formula1>
      <x:formula2>100</x:formula2>
    </x:dataValidation>
    <x:dataValidation type="decimal" operator="greaterThanOrEqual" sqref="G53">
      <x:formula1>0</x:formula1>
    </x:dataValidation>
    <x:dataValidation type="whole" operator="between" sqref="E59">
      <x:formula1>0</x:formula1>
      <x:formula2>100</x:formula2>
    </x:dataValidation>
    <x:dataValidation type="decimal" operator="greaterThanOrEqual" sqref="G59">
      <x:formula1>0</x:formula1>
    </x:dataValidation>
    <x:dataValidation type="whole" operator="between" sqref="E60">
      <x:formula1>0</x:formula1>
      <x:formula2>100</x:formula2>
    </x:dataValidation>
    <x:dataValidation type="decimal" operator="greaterThanOrEqual" sqref="G60">
      <x:formula1>0</x:formula1>
    </x:dataValidation>
    <x:dataValidation type="whole" operator="between" sqref="E61">
      <x:formula1>0</x:formula1>
      <x:formula2>100</x:formula2>
    </x:dataValidation>
    <x:dataValidation type="decimal" operator="greaterThanOrEqual" sqref="G61">
      <x:formula1>0</x:formula1>
    </x:dataValidation>
    <x:dataValidation type="whole" operator="between" sqref="E62">
      <x:formula1>0</x:formula1>
      <x:formula2>100</x:formula2>
    </x:dataValidation>
    <x:dataValidation type="decimal" operator="greaterThanOrEqual" sqref="G62">
      <x:formula1>0</x:formula1>
    </x:dataValidation>
    <x:dataValidation type="whole" operator="between" sqref="E63">
      <x:formula1>0</x:formula1>
      <x:formula2>100</x:formula2>
    </x:dataValidation>
    <x:dataValidation type="decimal" operator="greaterThanOrEqual" sqref="G63">
      <x:formula1>0</x:formula1>
    </x:dataValidation>
    <x:dataValidation type="list" sqref="D3">
      <x:formula1>"ESP32-CAM,ESP32-S3-CAM"</x:formula1>
    </x:dataValidation>
  </x:dataValidations>
  <x:pageMargins left="0.7" right="0.7" top="0.75" bottom="0.75" header="0.3" footer="0.3"/>
</x:worksheet>
</file>

<file path=xl/worksheets/sheet2.xml><?xml version="1.0" encoding="utf-8"?>
<x:worksheet xmlns:x="http://schemas.openxmlformats.org/spreadsheetml/2006/main">
  <x:sheetPr>
    <x:tabColor rgb="FF8A9BB0"/>
  </x:sheetPr>
  <x:sheetViews>
    <x:sheetView showGridLines="0" workbookViewId="0">
      <x:pane ySplit="5" topLeftCell="A6" activePane="bottomLeft" state="frozen"/>
    </x:sheetView>
  </x:sheetViews>
  <x:sheetFormatPr defaultRowHeight="15"/>
  <x:cols>
    <x:col min="1" max="1" width="3" hidden="0" customWidth="1"/>
    <x:col min="2" max="2" width="28" hidden="0" customWidth="1"/>
    <x:col min="3" max="3" width="116" hidden="0" customWidth="1"/>
    <x:col min="4" max="4" width="3" hidden="0" customWidth="1"/>
    <x:col min="5" max="5" width="100" hidden="0" customWidth="1"/>
  </x:cols>
  <x:sheetData>
    <x:row r="1">
      <x:c r="A1" s="2"/>
      <x:c r="B1" s="2"/>
      <x:c r="C1" s="2"/>
      <x:c r="D1" s="2"/>
      <x:c r="E1" s="2"/>
      <x:c r="F1" s="2"/>
    </x:row>
    <x:row r="2" ht="32" customHeight="1">
      <x:c r="A2" s="2"/>
      <x:c r="B2" s="3" t="str">
        <x:v>Cấu hình và điều kiện thử nghiệm</x:v>
      </x:c>
      <x:c r="C2" s="2"/>
      <x:c r="D2" s="2"/>
      <x:c r="E2" s="2"/>
      <x:c r="F2" s="2"/>
    </x:row>
    <x:row r="3">
      <x:c r="A3" s="2"/>
      <x:c r="B3" s="4"/>
      <x:c r="C3" s="4"/>
      <x:c r="D3" s="2"/>
      <x:c r="E3" s="2"/>
      <x:c r="F3" s="2"/>
    </x:row>
    <x:row r="4">
      <x:c r="A4" s="2"/>
      <x:c r="B4" s="2"/>
      <x:c r="C4" s="2"/>
      <x:c r="D4" s="2"/>
      <x:c r="E4" s="2"/>
      <x:c r="F4" s="2"/>
    </x:row>
    <x:row r="5" ht="28" customHeight="1">
      <x:c r="A5" s="2"/>
      <x:c r="B5" s="22" t="str">
        <x:v>Hạng mục</x:v>
      </x:c>
      <x:c r="C5" s="22" t="str">
        <x:v>Cấu hình đề xuất</x:v>
      </x:c>
      <x:c r="D5" s="2"/>
      <x:c r="E5" s="2"/>
      <x:c r="F5" s="2"/>
    </x:row>
    <x:row r="6" ht="46" customHeight="1">
      <x:c r="A6" s="2"/>
      <x:c r="B6" s="25" t="str">
        <x:v>Vai trò ESP32-CAM</x:v>
      </x:c>
      <x:c r="C6" s="25" t="str">
        <x:v>ESP32-CAM hoặc S3-CAM nhận lệnh, quay bàn, bật/tắt laser, chụp và truyền ảnh Wi-Fi. Một bo có thể đủ cho một trục, một laser và HOME.</x:v>
      </x:c>
      <x:c r="D6" s="2"/>
      <x:c r="E6" s="26"/>
      <x:c r="F6" s="2"/>
    </x:row>
    <x:row r="7" ht="46" customHeight="1">
      <x:c r="A7" s="2"/>
      <x:c r="B7" s="37" t="str">
        <x:v>Vai trò laptop</x:v>
      </x:c>
      <x:c r="C7" s="37" t="str">
        <x:v>Lưu ảnh, trích tâm vạch, hiệu chuẩn, tam giác hóa, ghép theo trục quay, lọc điểm, dựng lưới và xuất PLY/STL. Mạng Wi-Fi có sẵn hoặc ESP32 phát AP.</x:v>
      </x:c>
      <x:c r="D7" s="2"/>
      <x:c r="E7" s="26"/>
      <x:c r="F7" s="2"/>
    </x:row>
    <x:row r="8" ht="46" customHeight="1">
      <x:c r="A8" s="2"/>
      <x:c r="B8" s="25" t="str">
        <x:v>Camera đang có</x:v>
      </x:c>
      <x:c r="C8" s="25" t="str">
        <x:v>BOM dùng OV2640 đi kèm bo được chọn. Raspberry Pi Global Shutter Camera đang có không cắm trực tiếp vào ESP32-CAM hoặc ESP32-S3.</x:v>
      </x:c>
      <x:c r="D8" s="2"/>
      <x:c r="E8" s="26" t="str">
        <x:v>https://www.raspberrypi.com/products/raspberry-pi-global-shutter-camera/</x:v>
      </x:c>
      <x:c r="F8" s="2"/>
    </x:row>
    <x:row r="9" ht="46" customHeight="1">
      <x:c r="A9" s="2"/>
      <x:c r="B9" s="37" t="str">
        <x:v>Ống kính</x:v>
      </x:c>
      <x:c r="C9" s="37" t="str">
        <x:v>Mua bộ có lens sẵn. Thử độ nét ở khoảng 20–30 cm. Khả năng xoay lấy nét tùy cụm lens; không mặc định lens nào cũng tháo/chỉnh được.</x:v>
      </x:c>
      <x:c r="D9" s="2"/>
      <x:c r="E9" s="26"/>
      <x:c r="F9" s="2"/>
    </x:row>
    <x:row r="10" ht="46" customHeight="1">
      <x:c r="A10" s="2"/>
      <x:c r="B10" s="25" t="str">
        <x:v>Độ phân giải</x:v>
      </x:c>
      <x:c r="C10" s="25" t="str">
        <x:v>OV2640 tối đa 1600×1200 ảnh màu. Thử 800×600 trước, sau đó tăng độ phân giải nếu ổn. Giữ cùng chế độ ảnh khi hiệu chuẩn và quét.</x:v>
      </x:c>
      <x:c r="D10" s="2"/>
      <x:c r="E10" s="26" t="str">
        <x:v>https://github.com/espressif/esp32-camera</x:v>
      </x:c>
      <x:c r="F10" s="2"/>
    </x:row>
    <x:row r="11" ht="46" customHeight="1">
      <x:c r="A11" s="2"/>
      <x:c r="B11" s="37" t="str">
        <x:v>Chế độ ảnh</x:v>
      </x:c>
      <x:c r="C11" s="37" t="str">
        <x:v>JPEG ít nén, PSRAM bật; thử fb_count=1. Tắt stream khi quét, kiểm tra/bỏ khung cũ sau thay đổi trạng thái laser và chờ đủ một chu kỳ ảnh mới.</x:v>
      </x:c>
      <x:c r="D11" s="2"/>
      <x:c r="E11" s="26" t="str">
        <x:v>https://github.com/espressif/esp32-camera</x:v>
      </x:c>
      <x:c r="F11" s="2"/>
    </x:row>
    <x:row r="12" ht="46" customHeight="1">
      <x:c r="A12" s="2"/>
      <x:c r="B12" s="25" t="str">
        <x:v>Khóa thông số</x:v>
      </x:c>
      <x:c r="C12" s="25" t="str">
        <x:v>Tắt AE, AGC và AWB sau khi chọn thiết lập phù hợp; giữ focus/crop/độ phân giải cố định. Chụp laser tắt và bật với cùng thông số.</x:v>
      </x:c>
      <x:c r="D12" s="2"/>
      <x:c r="E12" s="26" t="str">
        <x:v>https://github.com/espressif/esp32-camera/blob/master/driver/include/sensor.h</x:v>
      </x:c>
      <x:c r="F12" s="2"/>
    </x:row>
    <x:row r="13" ht="46" customHeight="1">
      <x:c r="A13" s="2"/>
      <x:c r="B13" s="37" t="str">
        <x:v>Chu trình một góc</x:v>
      </x:c>
      <x:c r="C13" s="37" t="str">
        <x:v>Quay tới góc đặt → chờ hết rung → laser tắt, lấy ảnh nền mới → laser bật, lấy ảnh vạch mới → tắt laser → truyền và xác nhận nhận ảnh → quay tiếp.</x:v>
      </x:c>
      <x:c r="D13" s="2"/>
      <x:c r="E13" s="26"/>
      <x:c r="F13" s="2"/>
    </x:row>
    <x:row r="14" ht="46" customHeight="1">
      <x:c r="A14" s="2"/>
      <x:c r="B14" s="25" t="str">
        <x:v>Xử lý lỗi</x:v>
      </x:c>
      <x:c r="C14" s="25" t="str">
        <x:v>Gắn mã lượt quét/góc/trạng thái laser vào ảnh. Mất kết nối hoặc timeout: laser tắt, dừng quét. Sau reset phải về gốc và khởi tạo lượt mới.</x:v>
      </x:c>
      <x:c r="D14" s="2"/>
      <x:c r="E14" s="26"/>
      <x:c r="F14" s="2"/>
    </x:row>
    <x:row r="15" ht="46" customHeight="1">
      <x:c r="A15" s="2"/>
      <x:c r="B15" s="37" t="str">
        <x:v>Phạm vi khởi đầu</x:v>
      </x:c>
      <x:c r="C15" s="37" t="str">
        <x:v>Vật đục, nhám, khoảng 50–100 mm; dáng tương đối đơn giản. OV2640 rolling shutter và JPEG không phù hợp để giữ nguyên cam kết sai số 0,3 mm trước đó.</x:v>
      </x:c>
      <x:c r="D15" s="2"/>
      <x:c r="E15" s="26"/>
      <x:c r="F15" s="2"/>
    </x:row>
    <x:row r="16" ht="46" customHeight="1">
      <x:c r="A16" s="2"/>
      <x:c r="B16" s="25" t="str">
        <x:v>Đánh giá kết quả</x:v>
      </x:c>
      <x:c r="C16" s="25" t="str">
        <x:v>Đo sai số kích thước và độ lặp lại trên mẫu đối chứng. Lấy nét tốt, vạch không cháy sáng và cơ khí ổn định là điều kiện trước khi đặt mục tiêu mm.</x:v>
      </x:c>
      <x:c r="D16" s="2"/>
      <x:c r="E16" s="26"/>
      <x:c r="F16" s="2"/>
    </x:row>
    <x:row r="17" ht="46" customHeight="1">
      <x:c r="A17" s="2"/>
      <x:c r="B17" s="37" t="str">
        <x:v>Số ảnh</x:v>
      </x:c>
      <x:c r="C17" s="37" t="str">
        <x:v>400 vị trí với ảnh laser tắt/bật tạo 800 ảnh. Một lượt chưa thấy đáy; có thể cần lật vật, quét lượt hai rồi căn chỉnh.</x:v>
      </x:c>
      <x:c r="D17" s="2"/>
      <x:c r="E17" s="26"/>
      <x:c r="F17" s="2"/>
    </x:row>
    <x:row r="18" ht="46" customHeight="1">
      <x:c r="A18" s="2"/>
      <x:c r="B18" s="25" t="str">
        <x:v>Góc quay</x:v>
      </x:c>
      <x:c r="C18" s="25" t="str">
        <x:v>NEMA17 200 bước/vòng, vi bước 1/16 và đai 3:1: 9600 xung/vòng bàn. 400 góc tương ứng 24 xung/góc. Đây là độ phân giải lệnh, không phải độ chính xác góc.</x:v>
      </x:c>
      <x:c r="D18" s="2"/>
      <x:c r="E18" s="26" t="str">
        <x:v>https://www.pololu.com/product/1182</x:v>
      </x:c>
      <x:c r="F18" s="2"/>
    </x:row>
    <x:row r="19" ht="46" customHeight="1">
      <x:c r="A19" s="2"/>
      <x:c r="B19" s="37" t="str">
        <x:v>HOME và encoder</x:v>
      </x:c>
      <x:c r="C19" s="37" t="str">
        <x:v>Bản cơ bản dùng HOME + đếm bước lệnh, quay chậm một chiều. Không tự nhận biết mọi lần mất bước. Chưa cần AS5600/MPU6050/BH1750.</x:v>
      </x:c>
      <x:c r="D19" s="2"/>
      <x:c r="E19" s="26"/>
      <x:c r="F19" s="2"/>
    </x:row>
    <x:row r="20" ht="46" customHeight="1">
      <x:c r="A20" s="2"/>
      <x:c r="B20" s="25" t="str">
        <x:v>GPIO dự kiến</x:v>
      </x:c>
      <x:c r="C20" s="25" t="str">
        <x:v>Chỉ Ai-Thinker, không microSD: dự kiến GPIO13 STEP, GPIO14 DIR, GPIO2 laser kéo xuống, GPIO15 HOME. Với S3 phải lập sơ đồ chân riêng theo đúng bo; không chép pinout này.</x:v>
      </x:c>
      <x:c r="D20" s="2"/>
      <x:c r="E20" s="26" t="str">
        <x:v>https://raw.githubusercontent.com/espressif/arduino-esp32/master/libraries/ESP32/examples/Camera/CameraWebServer/camera_pins.h</x:v>
      </x:c>
      <x:c r="F20" s="2"/>
    </x:row>
    <x:row r="21" ht="46" customHeight="1">
      <x:c r="A21" s="2"/>
      <x:c r="B21" s="37" t="str">
        <x:v>Chân khởi động</x:v>
      </x:c>
      <x:c r="C21" s="37" t="str">
        <x:v>Ai-Thinker: GPIO2/15 là strapping, tránh kéo GPIO12 lên, GPIO0 dùng XCLK, GPIO16 thường dùng PSRAM. Với S3 phải kiểm tra chân khởi động, flash/PSRAM và USB theo sơ đồ bo.</x:v>
      </x:c>
      <x:c r="D21" s="2"/>
      <x:c r="E21" s="26" t="str">
        <x:v>https://www.espressif.com/sites/default/files/documentation/esp32_datasheet_en.pdf</x:v>
      </x:c>
      <x:c r="F21" s="2"/>
    </x:row>
    <x:row r="22" ht="46" customHeight="1">
      <x:c r="A22" s="2"/>
      <x:c r="B22" s="25" t="str">
        <x:v>Driver và microSD</x:v>
      </x:c>
      <x:c r="C22" s="25" t="str">
        <x:v>Không dùng microSD trong cấu hình này. MS1/2/3 và ENABLE của A4988 đặt bằng phần cứng; giữ mô-men khi chụp. START/STOP thường qua giao diện PC.</x:v>
      </x:c>
      <x:c r="D22" s="2"/>
      <x:c r="E22" s="26" t="str">
        <x:v>https://www.pololu.com/product/1182</x:v>
      </x:c>
      <x:c r="F22" s="2"/>
    </x:row>
    <x:row r="23" ht="46" customHeight="1">
      <x:c r="A23" s="2"/>
      <x:c r="B23" s="37" t="str">
        <x:v>Nguồn và laser</x:v>
      </x:c>
      <x:c r="C23" s="37" t="str">
        <x:v>Cấp nguồn vào chân 5V/USB được nhà sản xuất bo cho phép; GPIO 3,3 V. Laser qua MOSFET, không lấy dòng GPIO. Chung GND nhưng tách đường dòng motor khỏi camera.</x:v>
      </x:c>
      <x:c r="D23" s="2"/>
      <x:c r="E23" s="26"/>
      <x:c r="F23" s="2"/>
    </x:row>
    <x:row r="24" ht="46" customHeight="1">
      <x:c r="A24" s="2"/>
      <x:c r="B24" s="25" t="str">
        <x:v>Nạp chương trình</x:v>
      </x:c>
      <x:c r="C24" s="25" t="str">
        <x:v>ESP32-CAM: MB/CP2102 để nạp; S3: USB nạp trên bo được chọn. Cả hai không mặc định là webcam USB. Tránh cấp song song 5 V USB và buck khi chưa cách ly nguồn.</x:v>
      </x:c>
      <x:c r="D24" s="2"/>
      <x:c r="E24" s="26"/>
      <x:c r="F24" s="2"/>
    </x:row>
    <x:row r="25" ht="46" customHeight="1">
      <x:c r="A25" s="2"/>
      <x:c r="B25" s="37" t="str">
        <x:v>Buồng chụp</x:v>
      </x:c>
      <x:c r="C25" s="37" t="str">
        <x:v>Dùng vỏ không xuyên sáng, chắn tia và phản xạ. Mở cửa ngắt nguồn laser bằng phần cứng. Nhãn công suất của module không chứng minh phân hạng an toàn.</x:v>
      </x:c>
      <x:c r="D25" s="2"/>
      <x:c r="E25" s="26"/>
      <x:c r="F25" s="2"/>
    </x:row>
    <x:row r="26" ht="46" customHeight="1">
      <x:c r="A26" s="2"/>
      <x:c r="B26" s="25" t="str">
        <x:v>PCB cần tự thiết kế</x:v>
      </x:c>
      <x:c r="C26" s="25" t="str">
        <x:v>PCB bo đế nguồn, socket bo xử lý và A4988, MOSFET laser, công tắc cửa, HOME, dừng và đầu nối. Chốt kích thước/chân của bo được mua trước khi đặt PCB.</x:v>
      </x:c>
      <x:c r="D26" s="2"/>
      <x:c r="E26" s="26"/>
      <x:c r="F26" s="2"/>
    </x:row>
    <x:row r="27" ht="46" customHeight="1">
      <x:c r="A27" s="2"/>
      <x:c r="B27" s="37" t="str">
        <x:v>Hiệu chuẩn bắt buộc</x:v>
      </x:c>
      <x:c r="C27" s="37" t="str">
        <x:v>Nội tham số camera, mặt phẳng laser và trục quay. Dùng bàn cờ ở nhiều tư thế; thử phương pháp ước lượng trục từ bảng chuẩn gắn bàn xoay trước.</x:v>
      </x:c>
      <x:c r="D27" s="2"/>
      <x:c r="E27" s="26"/>
      <x:c r="F27" s="2"/>
    </x:row>
    <x:row r="28" ht="46" customHeight="1">
      <x:c r="A28" s="2"/>
      <x:c r="B28" s="25" t="str">
        <x:v>Mua đợt đầu</x:v>
      </x:c>
      <x:c r="C28" s="25" t="str">
        <x:v>Thử ảnh trước: ESP32-CAM + MB + cáp dự toán 275.000 đ; S3-CAM + cáp 325.000 đ. Dùng nguồn USB 5 V đủ dòng và bảng in tạm. Thử vạch trước khi đặt cơ khí/PCB.</x:v>
      </x:c>
      <x:c r="D28" s="2"/>
      <x:c r="E28" s="26"/>
      <x:c r="F28" s="2"/>
    </x:row>
    <x:row r="29" ht="46" customHeight="1">
      <x:c r="A29" s="2"/>
      <x:c r="B29" s="37" t="str">
        <x:v>Phần có thể mượn</x:v>
      </x:c>
      <x:c r="C29" s="37" t="str">
        <x:v>Laptop, nguồn USB thử camera, thước cặp, đồng hồ đo, mỏ hàn và máy hiện sóng phòng lab. Nếu mượn thước cặp thì đặt SL của D05 về 0.</x:v>
      </x:c>
      <x:c r="D29" s="2"/>
      <x:c r="E29" s="26"/>
      <x:c r="F29" s="2"/>
    </x:row>
    <x:row r="30" ht="46" customHeight="1">
      <x:c r="A30" s="2"/>
      <x:c r="B30" s="25" t="str">
        <x:v>Giới hạn ngân sách</x:v>
      </x:c>
      <x:c r="C30" s="25" t="str">
        <x:v>Chi phí công tự thiết kế/lập trình chưa tính; linh kiện cơ khí chung cần hỏi báo giá. Vòng sửa PCB hoặc đổi camera/lens có thể vượt khoản dự phòng.</x:v>
      </x:c>
      <x:c r="D30" s="2"/>
      <x:c r="E30" s="26"/>
      <x:c r="F30" s="2"/>
    </x:row>
    <x:row r="31">
      <x:c r="A31" s="2"/>
      <x:c r="B31" s="2"/>
      <x:c r="C31" s="2"/>
      <x:c r="D31" s="2"/>
      <x:c r="E31" s="2"/>
      <x:c r="F31" s="2"/>
    </x:row>
    <x:row r="32">
      <x:c r="A32" s="2"/>
      <x:c r="B32" s="2"/>
      <x:c r="C32" s="2"/>
      <x:c r="D32" s="2"/>
      <x:c r="E32" s="2"/>
      <x:c r="F32" s="2"/>
    </x:row>
    <x:row r="33">
      <x:c r="A33" s="2"/>
      <x:c r="B33" s="2"/>
      <x:c r="C33" s="2"/>
      <x:c r="D33" s="2"/>
      <x:c r="E33" s="2"/>
      <x:c r="F33" s="2"/>
    </x:row>
    <x:row r="34">
      <x:c r="A34" s="2"/>
      <x:c r="B34" s="2"/>
      <x:c r="C34" s="2"/>
      <x:c r="D34" s="2"/>
      <x:c r="E34" s="2"/>
      <x:c r="F34" s="2"/>
    </x:row>
    <x:row r="35">
      <x:c r="A35" s="2"/>
      <x:c r="B35" s="2"/>
      <x:c r="C35" s="2"/>
      <x:c r="D35" s="2"/>
      <x:c r="E35" s="2"/>
      <x:c r="F35" s="2"/>
    </x:row>
  </x:sheetData>
  <x:pageMargins left="0.7" right="0.7" top="0.75" bottom="0.75" header="0.3" footer="0.3"/>
</x:worksheet>
</file>

<file path=xl/worksheets/sheet3.xml><?xml version="1.0" encoding="utf-8"?>
<x:worksheet xmlns:x="http://schemas.openxmlformats.org/spreadsheetml/2006/main">
  <x:sheetPr>
    <x:tabColor rgb="FF8094AB"/>
  </x:sheetPr>
  <x:sheetViews>
    <x:sheetView showGridLines="0" workbookViewId="0"/>
  </x:sheetViews>
  <x:sheetFormatPr defaultRowHeight="15"/>
  <x:cols>
    <x:col min="1" max="1" width="3" hidden="0" customWidth="1"/>
    <x:col min="2" max="2" width="28" hidden="0" customWidth="1"/>
    <x:col min="3" max="3" width="17" hidden="0" customWidth="1"/>
    <x:col min="4" max="4" width="17" hidden="0" customWidth="1"/>
    <x:col min="5" max="5" width="17" hidden="0" customWidth="1"/>
    <x:col min="6" max="6" width="17" hidden="0" customWidth="1"/>
    <x:col min="7" max="7" width="3" hidden="0" customWidth="1"/>
    <x:col min="8" max="8" width="95" hidden="0" customWidth="1"/>
  </x:cols>
  <x:sheetData>
    <x:row r="1" ht="25" customHeight="1">
      <x:c r="A1" s="2"/>
      <x:c r="B1" s="2"/>
      <x:c r="C1" s="2"/>
      <x:c r="D1" s="2"/>
      <x:c r="E1" s="2"/>
      <x:c r="F1" s="2"/>
      <x:c r="G1" s="2"/>
      <x:c r="H1" s="2"/>
    </x:row>
    <x:row r="2" ht="32" customHeight="1">
      <x:c r="A2" s="2"/>
      <x:c r="B2" s="3" t="str">
        <x:v>Lựa chọn bo và chi phí khối camera</x:v>
      </x:c>
      <x:c r="C2" s="2"/>
      <x:c r="D2" s="2"/>
      <x:c r="E2" s="2"/>
      <x:c r="F2" s="2"/>
      <x:c r="G2" s="2"/>
      <x:c r="H2" s="2"/>
    </x:row>
    <x:row r="3" ht="25" customHeight="1">
      <x:c r="A3" s="2"/>
      <x:c r="B3" s="4"/>
      <x:c r="C3" s="4"/>
      <x:c r="D3" s="4"/>
      <x:c r="E3" s="4"/>
      <x:c r="F3" s="4"/>
      <x:c r="G3" s="2"/>
      <x:c r="H3" s="2"/>
    </x:row>
    <x:row r="4" ht="25" customHeight="1">
      <x:c r="A4" s="2"/>
      <x:c r="B4" s="2" t="str">
        <x:v>Đổi cấu hình tại ô D3 của trang BOM. Giá bên dưới là đầu vào có thể sửa.</x:v>
      </x:c>
      <x:c r="C4" s="2"/>
      <x:c r="D4" s="2"/>
      <x:c r="E4" s="2"/>
      <x:c r="F4" s="2"/>
      <x:c r="G4" s="2"/>
      <x:c r="H4" s="2"/>
    </x:row>
    <x:row r="5" ht="25" customHeight="1">
      <x:c r="A5" s="2"/>
      <x:c r="B5" s="2"/>
      <x:c r="C5" s="2"/>
      <x:c r="D5" s="2"/>
      <x:c r="E5" s="2"/>
      <x:c r="F5" s="2"/>
      <x:c r="G5" s="2"/>
      <x:c r="H5" s="2"/>
    </x:row>
    <x:row r="6" ht="30" customHeight="1">
      <x:c r="A6" s="2"/>
      <x:c r="B6" s="43" t="str">
        <x:v>Cấu hình</x:v>
      </x:c>
      <x:c r="C6" s="43" t="str">
        <x:v>Bo + camera (đ)</x:v>
      </x:c>
      <x:c r="D6" s="43" t="str">
        <x:v>Mạch nạp (đ)</x:v>
      </x:c>
      <x:c r="E6" s="43" t="str">
        <x:v>Cáp USB (đ)</x:v>
      </x:c>
      <x:c r="F6" s="43" t="str">
        <x:v>Tổng khối (đ)</x:v>
      </x:c>
      <x:c r="G6" s="2"/>
      <x:c r="H6" s="2" t="str">
        <x:v>Giá tham khảo và điều kiện mua</x:v>
      </x:c>
    </x:row>
    <x:row r="7" ht="62" customHeight="1">
      <x:c r="A7" s="2"/>
      <x:c r="B7" s="2" t="str">
        <x:v>ESP32-CAM</x:v>
      </x:c>
      <x:c r="C7" s="47" t="n">
        <x:v>200000</x:v>
      </x:c>
      <x:c r="D7" s="47" t="n">
        <x:v>50000</x:v>
      </x:c>
      <x:c r="E7" s="47" t="n">
        <x:v>25000</x:v>
      </x:c>
      <x:c r="F7" s="13" t="n">
        <x:f>SUM(C7:E7)</x:f>
        <x:v>275000</x:v>
      </x:c>
      <x:c r="G7" s="2"/>
      <x:c r="H7" s="26" t="str">
        <x:v>Nshop niêm yết 187.000 đ, báo hết hàng khi tra cứu 13/09/2026. Dự trù bo đủ camera/lens 200.000 đ. https://nshopvn.com/product/mach-thu-phat-wifi-esp32-cam/</x:v>
      </x:c>
    </x:row>
    <x:row r="8" ht="62" customHeight="1">
      <x:c r="A8" s="2"/>
      <x:c r="B8" s="2" t="str">
        <x:v>ESP32-S3-CAM</x:v>
      </x:c>
      <x:c r="C8" s="47" t="n">
        <x:v>300000</x:v>
      </x:c>
      <x:c r="D8" s="47" t="n">
        <x:v>0</x:v>
      </x:c>
      <x:c r="E8" s="47" t="n">
        <x:v>25000</x:v>
      </x:c>
      <x:c r="F8" s="13" t="n">
        <x:f>SUM(C8:E8)</x:f>
        <x:v>325000</x:v>
      </x:c>
      <x:c r="G8" s="2"/>
      <x:c r="H8" s="26" t="str">
        <x:v>Tuyết Nga niêm yết ESP32-S3 N16R8 OV2640 Type-C 205.000 đ khi tra cứu 14/09/2026. Dự trù 300.000 đ; xác nhận bộ có camera/lens, PSRAM, sơ đồ và USB nạp. https://dientutuyetnga.com/products/esp32-cam-kit-phat-trien-esp32-s3-n16r8-ov2640-typec</x:v>
      </x:c>
    </x:row>
    <x:row r="9" ht="25" customHeight="1">
      <x:c r="A9" s="2"/>
      <x:c r="B9" s="2"/>
      <x:c r="C9" s="2"/>
      <x:c r="D9" s="2"/>
      <x:c r="E9" s="2"/>
      <x:c r="F9" s="2"/>
      <x:c r="G9" s="2"/>
      <x:c r="H9" s="2"/>
    </x:row>
    <x:row r="10" ht="25" customHeight="1">
      <x:c r="A10" s="2"/>
      <x:c r="B10" s="2"/>
      <x:c r="C10" s="2"/>
      <x:c r="D10" s="2"/>
      <x:c r="E10" s="2"/>
      <x:c r="F10" s="2"/>
      <x:c r="G10" s="2"/>
      <x:c r="H10" s="2"/>
    </x:row>
    <x:row r="11" ht="25" customHeight="1">
      <x:c r="A11" s="2"/>
      <x:c r="B11" s="23" t="str">
        <x:v>Điều kiện dùng đúng cấu hình</x:v>
      </x:c>
      <x:c r="C11" s="2"/>
      <x:c r="D11" s="2"/>
      <x:c r="E11" s="2"/>
      <x:c r="F11" s="2"/>
      <x:c r="G11" s="2"/>
      <x:c r="H11" s="2"/>
    </x:row>
    <x:row r="12" ht="54" customHeight="1">
      <x:c r="A12" s="2"/>
      <x:c r="B12" s="48" t="str">
        <x:v>Bo S3 cần mua</x:v>
      </x:c>
      <x:c r="C12" s="48" t="str">
        <x:v>Bản CAM dùng ESP32-S3-WROOM N8R8 hoặc N16R8, PSRAM 8 MB, đầu nối camera và OV2640 kèm lens. Chọn bo có sơ đồ chân và chân GPIO còn trống cho driver/laser/HOME.</x:v>
      </x:c>
      <x:c r="D12" s="48"/>
      <x:c r="E12" s="48"/>
      <x:c r="F12" s="48"/>
      <x:c r="G12" s="2"/>
      <x:c r="H12" s="26" t="str">
        <x:v>Tài liệu bo tham chiếu Freenove: https://docs.freenove.com/projects/fnk0085/en/latest/</x:v>
      </x:c>
    </x:row>
    <x:row r="13" ht="54" customHeight="1">
      <x:c r="A13" s="2"/>
      <x:c r="B13" s="49" t="str">
        <x:v>ESP32-S3 DevKit thường</x:v>
      </x:c>
      <x:c r="C13" s="49" t="str">
        <x:v>Có thể dùng nếu có PSRAM và đủ chân, nhưng cần thêm module camera, lens và đầu nối đúng pinout. Chip S3 không đồng nghĩa bộ camera đã đầy đủ.</x:v>
      </x:c>
      <x:c r="D13" s="49"/>
      <x:c r="E13" s="49"/>
      <x:c r="F13" s="49"/>
      <x:c r="G13" s="2"/>
      <x:c r="H13" s="26" t="str">
        <x:v>Driver chính thức hỗ trợ ESP32/ESP32-S3 và OV2640: https://github.com/espressif/esp32-camera</x:v>
      </x:c>
    </x:row>
    <x:row r="14" ht="54" customHeight="1">
      <x:c r="A14" s="2"/>
      <x:c r="B14" s="48" t="str">
        <x:v>ESP32-S3 SuperMini</x:v>
      </x:c>
      <x:c r="C14" s="48" t="str">
        <x:v>Không mặc định có PSRAM/đầu nối/đủ chân. Phải kiểm tra đúng phiên bản bo trước khi đưa vào BOM.</x:v>
      </x:c>
      <x:c r="D14" s="48"/>
      <x:c r="E14" s="48"/>
      <x:c r="F14" s="48"/>
      <x:c r="G14" s="2"/>
      <x:c r="H14" s="2"/>
    </x:row>
    <x:row r="15" ht="54" customHeight="1">
      <x:c r="A15" s="2"/>
      <x:c r="B15" s="49" t="str">
        <x:v>Tận dụng CP2102</x:v>
      </x:c>
      <x:c r="C15" s="49" t="str">
        <x:v>Nếu đã có CP2102 phù hợp, đặt ô D7 = 0; bỏ đế nạp ESP32-CAM-MB. Nguồn cấp camera cần đủ dòng, không suy ra từ việc USB-UART nhận cổng COM.</x:v>
      </x:c>
      <x:c r="D15" s="49"/>
      <x:c r="E15" s="49"/>
      <x:c r="F15" s="49"/>
      <x:c r="G15" s="2"/>
      <x:c r="H15" s="2"/>
    </x:row>
    <x:row r="16" ht="54" customHeight="1">
      <x:c r="A16" s="2"/>
      <x:c r="B16" s="48" t="str">
        <x:v>Chất lượng hình học</x:v>
      </x:c>
      <x:c r="C16" s="48" t="str">
        <x:v>Đổi ESP32 sang ESP32-S3 với cùng OV2640/lens không tự làm mô hình chính xác hơn. Lợi ích chính là RAM, tài nguyên xử lý và khả năng mở rộng phần cứng.</x:v>
      </x:c>
      <x:c r="D16" s="48"/>
      <x:c r="E16" s="48"/>
      <x:c r="F16" s="48"/>
      <x:c r="G16" s="2"/>
      <x:c r="H16" s="2"/>
    </x:row>
    <x:row r="17" ht="54" customHeight="1">
      <x:c r="A17" s="2"/>
      <x:c r="B17" s="49" t="str">
        <x:v>USB trên bo S3</x:v>
      </x:c>
      <x:c r="C17" s="49" t="str">
        <x:v>Dùng cổng USB hỗ trợ nạp của bo được chọn; có USB không có nghĩa mặc định xuất webcam UVC. BOM cơ bản vẫn truyền ảnh Wi-Fi.</x:v>
      </x:c>
      <x:c r="D17" s="49"/>
      <x:c r="E17" s="49"/>
      <x:c r="F17" s="49"/>
      <x:c r="G17" s="2"/>
      <x:c r="H17" s="2"/>
    </x:row>
    <x:row r="18" ht="54" customHeight="1">
      <x:c r="A18" s="2"/>
      <x:c r="B18" s="48" t="str">
        <x:v>Nguồn điện</x:v>
      </x:c>
      <x:c r="C18" s="48" t="str">
        <x:v>GPIO và logic cảm biến ở 3,3 V; bo có chân nguồn 5 V/USB theo sơ đồ của nhà sản xuất. Không cấp 5 V vào GPIO hoặc đường nguồn 3V3.</x:v>
      </x:c>
      <x:c r="D18" s="48"/>
      <x:c r="E18" s="48"/>
      <x:c r="F18" s="48"/>
      <x:c r="G18" s="2"/>
      <x:c r="H18" s="2"/>
    </x:row>
    <x:row r="19" ht="54" customHeight="1">
      <x:c r="A19" s="2"/>
      <x:c r="B19" s="49" t="str">
        <x:v>Nên chọn gì</x:v>
      </x:c>
      <x:c r="C19" s="49" t="str">
        <x:v>Mua mới: ưu tiên S3-CAM có PSRAM và đủ camera/lens. Nếu đã có ESP32-CAM: dùng để thử vạch, không cần đổi bo ngay.</x:v>
      </x:c>
      <x:c r="D19" s="49"/>
      <x:c r="E19" s="49"/>
      <x:c r="F19" s="49"/>
      <x:c r="G19" s="2"/>
      <x:c r="H19" s="2"/>
    </x:row>
    <x:row r="20" ht="25" customHeight="1">
      <x:c r="A20" s="2"/>
      <x:c r="B20" s="2"/>
      <x:c r="C20" s="2"/>
      <x:c r="D20" s="2"/>
      <x:c r="E20" s="2"/>
      <x:c r="F20" s="2"/>
      <x:c r="G20" s="2"/>
      <x:c r="H20" s="2"/>
    </x:row>
    <x:row r="21" ht="25" customHeight="1">
      <x:c r="A21" s="2"/>
      <x:c r="B21" s="2"/>
      <x:c r="C21" s="2"/>
      <x:c r="D21" s="2"/>
      <x:c r="E21" s="2"/>
      <x:c r="F21" s="2"/>
      <x:c r="G21" s="2"/>
      <x:c r="H21" s="2"/>
    </x:row>
    <x:row r="22" ht="25" customHeight="1">
      <x:c r="A22" s="2"/>
      <x:c r="B22" s="2"/>
      <x:c r="C22" s="2"/>
      <x:c r="D22" s="2"/>
      <x:c r="E22" s="2"/>
      <x:c r="F22" s="2"/>
      <x:c r="G22" s="2"/>
      <x:c r="H22" s="2"/>
    </x:row>
    <x:row r="23" ht="25" customHeight="1">
      <x:c r="A23" s="2"/>
      <x:c r="B23" s="2"/>
      <x:c r="C23" s="2"/>
      <x:c r="D23" s="2"/>
      <x:c r="E23" s="2"/>
      <x:c r="F23" s="2"/>
      <x:c r="G23" s="2"/>
      <x:c r="H23" s="2"/>
    </x:row>
    <x:row r="24" ht="25" customHeight="1">
      <x:c r="A24" s="2"/>
      <x:c r="B24" s="2"/>
      <x:c r="C24" s="2"/>
      <x:c r="D24" s="2"/>
      <x:c r="E24" s="2"/>
      <x:c r="F24" s="2"/>
      <x:c r="G24" s="2"/>
      <x:c r="H24" s="2"/>
    </x:row>
    <x:row r="25" ht="25" customHeight="1">
      <x:c r="A25" s="2"/>
      <x:c r="B25" s="2"/>
      <x:c r="C25" s="2"/>
      <x:c r="D25" s="2"/>
      <x:c r="E25" s="2"/>
      <x:c r="F25" s="2"/>
      <x:c r="G25" s="2"/>
      <x:c r="H25" s="2"/>
    </x:row>
  </x:sheetData>
  <x:mergeCells>
    <x:mergeCell ref="C12:F12"/>
    <x:mergeCell ref="C13:F13"/>
    <x:mergeCell ref="C14:F14"/>
    <x:mergeCell ref="C15:F15"/>
    <x:mergeCell ref="C16:F16"/>
    <x:mergeCell ref="C17:F17"/>
    <x:mergeCell ref="C18:F18"/>
    <x:mergeCell ref="C19:F19"/>
  </x:mergeCells>
  <x:dataValidations count="1">
    <x:dataValidation type="decimal" operator="greaterThanOrEqual" sqref="C7:E8">
      <x:formula1>0</x:formula1>
    </x:dataValidation>
  </x:dataValidations>
  <x:pageMargins left="0.7" right="0.7" top="0.75" bottom="0.75" header="0.3" footer="0.3"/>
</x:worksheet>
</file>